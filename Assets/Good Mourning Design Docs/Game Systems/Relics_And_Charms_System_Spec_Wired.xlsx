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Core_Loop" sheetId="2" r:id="rId2"/>
    <sheet name="Fragment_Types" sheetId="3" r:id="rId3"/>
    <sheet name="Relic_Forge" sheetId="4" r:id="rId4"/>
    <sheet name="Recipes" sheetId="5" r:id="rId5"/>
    <sheet name="Charms_Catalog" sheetId="6" r:id="rId6"/>
    <sheet name="Boss_Unique_Charms" sheetId="7" r:id="rId7"/>
    <sheet name="Interactions" sheetId="8" r:id="rId8"/>
    <sheet name="Hooks" sheetId="9" r:id="rId9"/>
    <sheet name="Tuning_Defaults" sheetId="10" r:id="rId10"/>
    <sheet name="Resource_Summary" sheetId="11" r:id="rId11"/>
    <sheet name="Computed_Metrics" sheetId="12" r:id="rId12"/>
    <sheet name="External_Links" sheetId="13" r:id="rId13"/>
    <sheet name="Metrics" sheetId="14" r:id="rId14"/>
    <sheet name="Charm_Sets" sheetId="15" r:id="rId15"/>
  </sheets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<sst xmlns="http://schemas.openxmlformats.org/spreadsheetml/2006/main" count="457" uniqueCount="361">
  <si>
    <t>Field</t>
  </si>
  <si>
    <t>Description</t>
  </si>
  <si>
    <t>System Name</t>
  </si>
  <si>
    <t>Tagline</t>
  </si>
  <si>
    <t>Purpose</t>
  </si>
  <si>
    <t>One‑line Summary</t>
  </si>
  <si>
    <t>Core Loop</t>
  </si>
  <si>
    <t>Key Systems Touched</t>
  </si>
  <si>
    <t>Out of Scope (v1)</t>
  </si>
  <si>
    <t>Success Criteria</t>
  </si>
  <si>
    <t>Author</t>
  </si>
  <si>
    <t>Version</t>
  </si>
  <si>
    <t>Last Updated</t>
  </si>
  <si>
    <t>Relic Fragments &amp; Charms System</t>
  </si>
  <si>
    <t>Break the past, wear the lesson: fragments become charms that shape how your ghosts behave.</t>
  </si>
  <si>
    <t>Add long‑term rewards to dungeon runs and deep personalization to follower management.</t>
  </si>
  <si>
    <t>Defeat wraiths to earn fragments of emotion; reforge them into Charms that you gift to spirits to shift their mood, habits, and risks.</t>
  </si>
  <si>
    <t>Collect Fragments → Combine at Relic Forge → Gift Charm → Manage Effects / Swap</t>
  </si>
  <si>
    <t>Dungeon (boss/elite drops), Essence/Remains (crafting), Contentment/Bond, Requests, Temperaments, Rituals, Mementos</t>
  </si>
  <si>
    <t>Transmog visuals per charm, multi‑slot accessories, set bonuses beyond simple stacking.</t>
  </si>
  <si>
    <t>• Fragments feel exciting to collect • Charms create noticeable behavioral shifts • Risky charms exist but are worth it • Boss charms feel unique and coveted</t>
  </si>
  <si>
    <t>Brandon (Caretaker Designer)</t>
  </si>
  <si>
    <t>1.0</t>
  </si>
  <si>
    <t>2025-10-31 21:00 UTC</t>
  </si>
  <si>
    <t>Phase</t>
  </si>
  <si>
    <t>Name</t>
  </si>
  <si>
    <t>What Happens</t>
  </si>
  <si>
    <t>Rules &amp; Costs</t>
  </si>
  <si>
    <t>UX Cues</t>
  </si>
  <si>
    <t>Collect Fragments</t>
  </si>
  <si>
    <t>Combine Fragments</t>
  </si>
  <si>
    <t>Gift Charms</t>
  </si>
  <si>
    <t>Manage Effects</t>
  </si>
  <si>
    <t>Bosses and elite enemies drop 1–3 Relic Fragments of specific emotional types.</t>
  </si>
  <si>
    <t>Combine 3–5 fragments at the Relic Forge to craft a Charm.</t>
  </si>
  <si>
    <t>Equip one charm per ghost to boost traits or resistances.</t>
  </si>
  <si>
    <t>Charms affect personality and daily behavior; some have drawbacks.</t>
  </si>
  <si>
    <t>Drop chance scales with difficulty and encounter type.</t>
  </si>
  <si>
    <t>Consume small Essence + Remains to bind memory together.</t>
  </si>
  <si>
    <t>Can reclaim on release/banish; swapping has a short cooldown.</t>
  </si>
  <si>
    <t>Stack some global charm types across many ghosts for macro buffs.</t>
  </si>
  <si>
    <t>Dungeon pickup toasts; rarity tint; shard sound.</t>
  </si>
  <si>
    <t>Forge queue UI; recipe preview; success VFX.</t>
  </si>
  <si>
    <t>Follower panel slot; drag‑drop; equip SFX.</t>
  </si>
  <si>
    <t>HUD tags on ghost; tooltip of active modifiers.</t>
  </si>
  <si>
    <t>FragmentID</t>
  </si>
  <si>
    <t>Fragment Name</t>
  </si>
  <si>
    <t>Example Charm</t>
  </si>
  <si>
    <t>Example Effect</t>
  </si>
  <si>
    <t>SORROW</t>
  </si>
  <si>
    <t>HUNGER</t>
  </si>
  <si>
    <t>WRATH</t>
  </si>
  <si>
    <t>APATHY</t>
  </si>
  <si>
    <t>FEAR</t>
  </si>
  <si>
    <t>JOY</t>
  </si>
  <si>
    <t>Sorrow Fragment</t>
  </si>
  <si>
    <t>Hunger Fragment</t>
  </si>
  <si>
    <t>Wrath Fragment</t>
  </si>
  <si>
    <t>Apathy Fragment</t>
  </si>
  <si>
    <t>Fear Fragment</t>
  </si>
  <si>
    <t>Joy Fragment</t>
  </si>
  <si>
    <t>Fragment of grief and loss.</t>
  </si>
  <si>
    <t>Fragment of insatiable want.</t>
  </si>
  <si>
    <t>Fragment of rage or regret.</t>
  </si>
  <si>
    <t>Fragment of numbness.</t>
  </si>
  <si>
    <t>Fragment of panic or insecurity.</t>
  </si>
  <si>
    <t>Fragment of fleeting happiness.</t>
  </si>
  <si>
    <t>Charm of Calm</t>
  </si>
  <si>
    <t>Charm of Sustenance</t>
  </si>
  <si>
    <t>Charm of Restraint</t>
  </si>
  <si>
    <t>Charm of Spark</t>
  </si>
  <si>
    <t>Charm of Courage</t>
  </si>
  <si>
    <t>Charm of Mirth</t>
  </si>
  <si>
    <t>Slows Contentment decay.</t>
  </si>
  <si>
    <t>Appetite decays slower.</t>
  </si>
  <si>
    <t>Less likely to enter Unrest; reduces vandalism chance.</t>
  </si>
  <si>
    <t>Increases Essence production.</t>
  </si>
  <si>
    <t>Faster recovery from Manifest; -Manifest chance.</t>
  </si>
  <si>
    <t>Bond grows faster; +request positivity.</t>
  </si>
  <si>
    <t>Aspect</t>
  </si>
  <si>
    <t>Unlocked By</t>
  </si>
  <si>
    <t>Follower Role</t>
  </si>
  <si>
    <t>Visual</t>
  </si>
  <si>
    <t>Crafting Cost (example)</t>
  </si>
  <si>
    <t>Craft Charms from collected Relic Fragments.</t>
  </si>
  <si>
    <t>Mid‑game Grace unlock (after first major boss).</t>
  </si>
  <si>
    <t>Assign a spirit as Smith/Whisperer; faster craft if Content.</t>
  </si>
  <si>
    <t>Small shrine of broken mirrors and bones; faint whispers echo.</t>
  </si>
  <si>
    <t>3 Relic Fragments + 2 Essence + 1 Remain → 1 Charm</t>
  </si>
  <si>
    <t>RecipeID</t>
  </si>
  <si>
    <t>Charm Name</t>
  </si>
  <si>
    <t>Fragment Combo</t>
  </si>
  <si>
    <t>Extra Costs</t>
  </si>
  <si>
    <t>Effect</t>
  </si>
  <si>
    <t>Rarity</t>
  </si>
  <si>
    <t>REC_CALM_01</t>
  </si>
  <si>
    <t>REC_SUST_01</t>
  </si>
  <si>
    <t>REC_RESTR_01</t>
  </si>
  <si>
    <t>REC_MIRTH_01</t>
  </si>
  <si>
    <t>REC_FOCUS_01</t>
  </si>
  <si>
    <t>REC_STILL_01</t>
  </si>
  <si>
    <t>REC_WANDER_01</t>
  </si>
  <si>
    <t>Charm of Focus</t>
  </si>
  <si>
    <t>Charm of Stillness</t>
  </si>
  <si>
    <t>Charm of the Wanderer</t>
  </si>
  <si>
    <t>SORROW,SORROW,JOY</t>
  </si>
  <si>
    <t>HUNGER,HUNGER,APATHY</t>
  </si>
  <si>
    <t>WRATH,APATHY,WRATH</t>
  </si>
  <si>
    <t>JOY,JOY,SORROW</t>
  </si>
  <si>
    <t>APATHY,APATHY,JOY</t>
  </si>
  <si>
    <t>FEAR,FEAR,SORROW</t>
  </si>
  <si>
    <t>JOY,FEAR,APATHY</t>
  </si>
  <si>
    <t>Essence×2, Remains×1</t>
  </si>
  <si>
    <t>Essence×3, Remains×1</t>
  </si>
  <si>
    <t>Essence×2</t>
  </si>
  <si>
    <t>Slows Contentment decay by 20%.</t>
  </si>
  <si>
    <t>-50% Appetite decay.</t>
  </si>
  <si>
    <t>-30% Unrest trigger chance.</t>
  </si>
  <si>
    <t>Bond XP +25%.</t>
  </si>
  <si>
    <t>+15% Essence output.</t>
  </si>
  <si>
    <t>-25% Manifest chance.</t>
  </si>
  <si>
    <t>On release: +Chance extra Mementos.</t>
  </si>
  <si>
    <t>Common</t>
  </si>
  <si>
    <t>Uncommon</t>
  </si>
  <si>
    <t>Rare</t>
  </si>
  <si>
    <t>CharmID</t>
  </si>
  <si>
    <t>Flavor</t>
  </si>
  <si>
    <t>Notes</t>
  </si>
  <si>
    <t>CHARM_CALM</t>
  </si>
  <si>
    <t>CHARM_SUST</t>
  </si>
  <si>
    <t>CHARM_STILL</t>
  </si>
  <si>
    <t>CHARM_MIRTH</t>
  </si>
  <si>
    <t>CHARM_FOCUS</t>
  </si>
  <si>
    <t>CHARM_RESTRAINT</t>
  </si>
  <si>
    <t>CHARM_WANDERER</t>
  </si>
  <si>
    <t>Charm of Appetite</t>
  </si>
  <si>
    <t>Contentment decays slower.</t>
  </si>
  <si>
    <t>Appetite decays 50% slower.</t>
  </si>
  <si>
    <t>Reduces Manifest chance.</t>
  </si>
  <si>
    <t>Bond grows 25% faster.</t>
  </si>
  <si>
    <t>+15% Essence generation.</t>
  </si>
  <si>
    <t>Less likely to break structures when angry.</t>
  </si>
  <si>
    <t>On peaceful release: chance for extra Mementos.</t>
  </si>
  <si>
    <t>A polished stone that hums softly.</t>
  </si>
  <si>
    <t>A small bell that smells like soup.</t>
  </si>
  <si>
    <t>A pendant shaped like a closed eye.</t>
  </si>
  <si>
    <t>A tiny cracked comedy mask.</t>
  </si>
  <si>
    <t>A button carved from mirror glass.</t>
  </si>
  <si>
    <t>A braided, tightening cord.</t>
  </si>
  <si>
    <t>A hollow coin etched “Remember Me.”</t>
  </si>
  <si>
    <t>Slots: 1 (per ghost); Reclaim on release.</t>
  </si>
  <si>
    <t>Great on Bright/Lonely temperaments.</t>
  </si>
  <si>
    <t>Pairs with Anxious/Spiteful.</t>
  </si>
  <si>
    <t>Good for Requests runs.</t>
  </si>
  <si>
    <t>Stack on key workers.</t>
  </si>
  <si>
    <t>Tames Spiteful behavior.</t>
  </si>
  <si>
    <t>Release‑focused builds.</t>
  </si>
  <si>
    <t>Boss Emotion</t>
  </si>
  <si>
    <t>Unique Charm</t>
  </si>
  <si>
    <t>A/V Cue</t>
  </si>
  <si>
    <t>GREED</t>
  </si>
  <si>
    <t>DESPAIR</t>
  </si>
  <si>
    <t>PRIDE</t>
  </si>
  <si>
    <t>Charm of Plenty</t>
  </si>
  <si>
    <t>Charm of Light</t>
  </si>
  <si>
    <t>Charm of Reflection</t>
  </si>
  <si>
    <t>Charm of Shadows</t>
  </si>
  <si>
    <t>Occasionally duplicates crafted resources.</t>
  </si>
  <si>
    <t>Nearby ghosts lose Contentment slower.</t>
  </si>
  <si>
    <t>Wearer occasionally grants +Grace passively.</t>
  </si>
  <si>
    <t>+Move speed for companion ghost in dungeons.</t>
  </si>
  <si>
    <t>Small coin halo appears; double yield proc.</t>
  </si>
  <si>
    <t>Soft lantern glow aura.</t>
  </si>
  <si>
    <t>Mirror glint sparkle.</t>
  </si>
  <si>
    <t>Trailing shadow ribbon VFX.</t>
  </si>
  <si>
    <t>Unique Boss</t>
  </si>
  <si>
    <t>System</t>
  </si>
  <si>
    <t>Interaction</t>
  </si>
  <si>
    <t>Contentment</t>
  </si>
  <si>
    <t>Bond</t>
  </si>
  <si>
    <t>Essence</t>
  </si>
  <si>
    <t>Manifest</t>
  </si>
  <si>
    <t>Unrest</t>
  </si>
  <si>
    <t>Temperaments</t>
  </si>
  <si>
    <t>Rituals</t>
  </si>
  <si>
    <t>Mementos</t>
  </si>
  <si>
    <t>Requests</t>
  </si>
  <si>
    <t>Charms can slow decay, radiate calm, or (rare) cause friction.</t>
  </si>
  <si>
    <t>Certain charms increase Bond growth or alter Requests.</t>
  </si>
  <si>
    <t>Production modifiers for key workers.</t>
  </si>
  <si>
    <t>Prevention or faster recovery modifiers.</t>
  </si>
  <si>
    <t>Restraint charms reduce vandalism risk; others may make it worse (risky charms).</t>
  </si>
  <si>
    <t>Best‑in‑slot pairs: Calm for Spiteful; Mirth for Trickster; Focus for Stoic/Cold.</t>
  </si>
  <si>
    <t>Forge blessings can reduce craft costs/cooldowns for a day.</t>
  </si>
  <si>
    <t>Wanderer adds release‑based Memento generation.</t>
  </si>
  <si>
    <t>Equipping certain charms can satisfy/generate special requests.</t>
  </si>
  <si>
    <t>Hook ID</t>
  </si>
  <si>
    <t>Context / Feature</t>
  </si>
  <si>
    <t>Unity Component / Script</t>
  </si>
  <si>
    <t>Key Fields / Serialized Props</t>
  </si>
  <si>
    <t>Events (Invoke/Listen)</t>
  </si>
  <si>
    <t>Triggered By</t>
  </si>
  <si>
    <t>Emits / Subscribes To</t>
  </si>
  <si>
    <t>Expected Prefab / Asset</t>
  </si>
  <si>
    <t>Notes / Integration</t>
  </si>
  <si>
    <t>HK_RelicForge</t>
  </si>
  <si>
    <t>HK_FragmentPickup</t>
  </si>
  <si>
    <t>HK_CharmSocket</t>
  </si>
  <si>
    <t>HK_RecipeResolver</t>
  </si>
  <si>
    <t>HK_InventoryBridge</t>
  </si>
  <si>
    <t>HK_DropTable</t>
  </si>
  <si>
    <t>Relic Forge station &amp; queue</t>
  </si>
  <si>
    <t>Runtime fragment pickup</t>
  </si>
  <si>
    <t>Equipping on ghosts</t>
  </si>
  <si>
    <t>Combine fragments → charm</t>
  </si>
  <si>
    <t>Counts resources</t>
  </si>
  <si>
    <t>Boss/elite drops</t>
  </si>
  <si>
    <t>KD.Relics.RelicForge</t>
  </si>
  <si>
    <t>KD.Relics.RelicFragmentPickup</t>
  </si>
  <si>
    <t>KD.Items.CharmSocket</t>
  </si>
  <si>
    <t>KD.Relics.RecipeResolver</t>
  </si>
  <si>
    <t>KD.Inventory.Bridge</t>
  </si>
  <si>
    <t>KD.Adventure.DropTable</t>
  </si>
  <si>
    <t>queue[], stationLevel, craftMult, unlocks[]</t>
  </si>
  <si>
    <t>fragmentId, rarity, source</t>
  </si>
  <si>
    <t>equippedCharmId, tagsActive[]</t>
  </si>
  <si>
    <t>fragmentSet[], rarityRules</t>
  </si>
  <si>
    <t>fragments{}, essence, remains</t>
  </si>
  <si>
    <t>weights{}, pityCounter</t>
  </si>
  <si>
    <t>OnCraftStart, OnCraftComplete</t>
  </si>
  <si>
    <t>OnPickedUp</t>
  </si>
  <si>
    <t>OnCharmEquipped, OnCharmRemoved</t>
  </si>
  <si>
    <t>OnRecipeResolved</t>
  </si>
  <si>
    <t>OnInventoryChanged</t>
  </si>
  <si>
    <t>OnEnemyDefeated</t>
  </si>
  <si>
    <t>Player craft UI, Grace unlocks</t>
  </si>
  <si>
    <t>Enemy death, boss chest</t>
  </si>
  <si>
    <t>Player gift, forge reward</t>
  </si>
  <si>
    <t>Forge request</t>
  </si>
  <si>
    <t>Pickup, craft, spend</t>
  </si>
  <si>
    <t>Enemy death</t>
  </si>
  <si>
    <t>Emit: OnCharmCrafted; Sub: OnFragmentAdded</t>
  </si>
  <si>
    <t>Emit: OnFragmentAdded</t>
  </si>
  <si>
    <t>Emit: OnCharmStatsChanged; Sub: OnInventoryChanged</t>
  </si>
  <si>
    <t>Emit: CharmIDResolved</t>
  </si>
  <si>
    <t>Emit: OnInventoryChanged</t>
  </si>
  <si>
    <t>Emit: OnFragmentSpawn</t>
  </si>
  <si>
    <t>PF_RelicForge, SO_RelicRecipes, UI_ForgePanel</t>
  </si>
  <si>
    <t>PF_Fragment_[type], SFX_Pickup</t>
  </si>
  <si>
    <t>PF_Charm_[id], UI_GhostPanel</t>
  </si>
  <si>
    <t>SO_RelicRecipes</t>
  </si>
  <si>
    <t>—</t>
  </si>
  <si>
    <t>SO_DropTables</t>
  </si>
  <si>
    <t>Persists queue; binds costs to inventory.</t>
  </si>
  <si>
    <t>Drop tables per biome/boss.</t>
  </si>
  <si>
    <t>Applies modifiers to Mood/Task agents.</t>
  </si>
  <si>
    <t>Supports alt combos.</t>
  </si>
  <si>
    <t>Used by Forge &amp; UI.</t>
  </si>
  <si>
    <t>Pity for long droughts.</t>
  </si>
  <si>
    <t>Parameter</t>
  </si>
  <si>
    <t>Default</t>
  </si>
  <si>
    <t>Min</t>
  </si>
  <si>
    <t>Max</t>
  </si>
  <si>
    <t>forge_fragments_required</t>
  </si>
  <si>
    <t>forge_essence_cost</t>
  </si>
  <si>
    <t>forge_remains_cost</t>
  </si>
  <si>
    <t>equip_swap_cooldown_s</t>
  </si>
  <si>
    <t>boss_unique_drop_chance</t>
  </si>
  <si>
    <t>elite_fragment_drop_chance</t>
  </si>
  <si>
    <t>fragment_stack_cap</t>
  </si>
  <si>
    <t>Fragments needed per charm (by rarity).</t>
  </si>
  <si>
    <t>Essence per craft (base).</t>
  </si>
  <si>
    <t>Remains per craft (base).</t>
  </si>
  <si>
    <t>Cooldown after swapping charm.</t>
  </si>
  <si>
    <t>Guaranteed on first kill; pity system thereafter.</t>
  </si>
  <si>
    <t>Elite drop chance.</t>
  </si>
  <si>
    <t>Inventory max for fragments by type.</t>
  </si>
  <si>
    <t>Resource</t>
  </si>
  <si>
    <t>Acquired From</t>
  </si>
  <si>
    <t>Used For</t>
  </si>
  <si>
    <t>Relic Fragments</t>
  </si>
  <si>
    <t>Charms</t>
  </si>
  <si>
    <t>Fragments of emotion &amp; memory dropped from wraiths/bosses.</t>
  </si>
  <si>
    <t>Wearable memories gifted to spirits; alter traits.</t>
  </si>
  <si>
    <t>Dungeon runs, bosses, exploration events.</t>
  </si>
  <si>
    <t>Crafted at Relic Forge.</t>
  </si>
  <si>
    <t>Crafted into Charms at the Forge.</t>
  </si>
  <si>
    <t>Boost mood, appetite, productivity, stability; special effects on release.</t>
  </si>
  <si>
    <t>Metric</t>
  </si>
  <si>
    <t>Formula (Excel)</t>
  </si>
  <si>
    <t>Var1</t>
  </si>
  <si>
    <t>Var2</t>
  </si>
  <si>
    <t>Var3</t>
  </si>
  <si>
    <t>Var4</t>
  </si>
  <si>
    <t>Computed Example</t>
  </si>
  <si>
    <t>Expected Fragments/Run</t>
  </si>
  <si>
    <t>Charms/Run (at 3 frags/charm)</t>
  </si>
  <si>
    <t>Charm ROI (Effect‑Cost)</t>
  </si>
  <si>
    <t>(EffectWeight*Usefulness) - (EssenceCost*EssenceValue + RemainsCost*RemainsValue)</t>
  </si>
  <si>
    <t>EliteKills</t>
  </si>
  <si>
    <t>EffectWeight</t>
  </si>
  <si>
    <t>BossKills</t>
  </si>
  <si>
    <t>Usefulness</t>
  </si>
  <si>
    <t>EliteDrop</t>
  </si>
  <si>
    <t>EssenceCost</t>
  </si>
  <si>
    <t>BossDrop</t>
  </si>
  <si>
    <t>RemainsCost</t>
  </si>
  <si>
    <t>Pieces per run</t>
  </si>
  <si>
    <t>Finished charms/run</t>
  </si>
  <si>
    <t>Relative value</t>
  </si>
  <si>
    <t>LinkKey</t>
  </si>
  <si>
    <t>Excel_Formula</t>
  </si>
  <si>
    <t>Essence_Token_Value_From_Resources</t>
  </si>
  <si>
    <t>Remains_Token_Value_From_Resources</t>
  </si>
  <si>
    <t>Pulls Token value for 1 Essence directly from your Resources workbook (Globals sheet).</t>
  </si>
  <si>
    <t>Pulls Token value for 1 Remain directly from your Resources workbook (Globals sheet).</t>
  </si>
  <si>
    <t>Key</t>
  </si>
  <si>
    <t>Value</t>
  </si>
  <si>
    <t>essence_token_value</t>
  </si>
  <si>
    <t>remains_token_value</t>
  </si>
  <si>
    <t>fragments_per_charm</t>
  </si>
  <si>
    <t>elite_drop_chance</t>
  </si>
  <si>
    <t>boss_drop_fragments_min</t>
  </si>
  <si>
    <t>boss_drop_fragments_max</t>
  </si>
  <si>
    <t>Live link to Resources Globals (update there to change here)</t>
  </si>
  <si>
    <t>Live link to Resources Globals</t>
  </si>
  <si>
    <t>Default fragments needed to craft a charm</t>
  </si>
  <si>
    <t>Average elite fragment drop chance</t>
  </si>
  <si>
    <t>Min fragments dropped by boss</t>
  </si>
  <si>
    <t>Max fragments dropped by boss</t>
  </si>
  <si>
    <t>Var5</t>
  </si>
  <si>
    <t>Charms/Run</t>
  </si>
  <si>
    <t>SetID</t>
  </si>
  <si>
    <t>Set Name</t>
  </si>
  <si>
    <t>Pieces Required</t>
  </si>
  <si>
    <t>Global Effect</t>
  </si>
  <si>
    <t>Stacking Cap</t>
  </si>
  <si>
    <t>SET_CALM</t>
  </si>
  <si>
    <t>SET_MIRTH</t>
  </si>
  <si>
    <t>SET_STILL</t>
  </si>
  <si>
    <t>SET_FOCUS</t>
  </si>
  <si>
    <t>SET_RESTRAINT</t>
  </si>
  <si>
    <t>SET_WANDERER</t>
  </si>
  <si>
    <t>Calm Set</t>
  </si>
  <si>
    <t>Mirth Set</t>
  </si>
  <si>
    <t>Still Set</t>
  </si>
  <si>
    <t>Focus Set</t>
  </si>
  <si>
    <t>Restraint Set</t>
  </si>
  <si>
    <t>Wanderer Set</t>
  </si>
  <si>
    <t>+1 Contentment cap (global)</t>
  </si>
  <si>
    <t>+5% Bond XP (global)</t>
  </si>
  <si>
    <t>-5% Manifest chance (global)</t>
  </si>
  <si>
    <t>+5% Essence generation (global)</t>
  </si>
  <si>
    <t>-5% Unrest event chance (global)</t>
  </si>
  <si>
    <t>+10% chance extra Mementos on release</t>
  </si>
  <si>
    <t>Counts unique ghosts wearing Charm of Calm</t>
  </si>
  <si>
    <t>Counts unique ghosts wearing Charm of Mirth</t>
  </si>
  <si>
    <t>Counts unique ghosts wearing Charm of Stillness</t>
  </si>
  <si>
    <t>Each additional set adds +5% up to cap 2</t>
  </si>
  <si>
    <t>Diminishing returns beyond cap</t>
  </si>
  <si>
    <t>Release-focused builds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</si>
</sst>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222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Relationship Id="rId1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13</v>
      </c>
    </row>
    <row r="3" spans="1:2">
      <c r="A3" t="s">
        <v>3</v>
      </c>
      <c r="B3" t="s">
        <v>14</v>
      </c>
    </row>
    <row r="4" spans="1:2">
      <c r="A4" t="s">
        <v>4</v>
      </c>
      <c r="B4" t="s">
        <v>15</v>
      </c>
    </row>
    <row r="5" spans="1:2">
      <c r="A5" t="s">
        <v>5</v>
      </c>
      <c r="B5" t="s">
        <v>16</v>
      </c>
    </row>
    <row r="6" spans="1:2">
      <c r="A6" t="s">
        <v>6</v>
      </c>
      <c r="B6" t="s">
        <v>17</v>
      </c>
    </row>
    <row r="7" spans="1:2">
      <c r="A7" t="s">
        <v>7</v>
      </c>
      <c r="B7" t="s">
        <v>18</v>
      </c>
    </row>
    <row r="8" spans="1:2">
      <c r="A8" t="s">
        <v>8</v>
      </c>
      <c r="B8" t="s">
        <v>19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22</v>
      </c>
    </row>
    <row r="12" spans="1:2">
      <c r="A12" t="s">
        <v>12</v>
      </c>
      <c r="B12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</row>
    <row r="2" spans="1:5">
      <c r="A2">
        <v>1</v>
      </c>
      <c r="B2" t="s">
        <v>29</v>
      </c>
      <c r="C2" t="s">
        <v>33</v>
      </c>
      <c r="D2" t="s">
        <v>37</v>
      </c>
      <c r="E2" t="s">
        <v>41</v>
      </c>
    </row>
    <row r="3" spans="1:5">
      <c r="A3">
        <v>2</v>
      </c>
      <c r="B3" t="s">
        <v>30</v>
      </c>
      <c r="C3" t="s">
        <v>34</v>
      </c>
      <c r="D3" t="s">
        <v>38</v>
      </c>
      <c r="E3" t="s">
        <v>42</v>
      </c>
    </row>
    <row r="4" spans="1:5">
      <c r="A4">
        <v>3</v>
      </c>
      <c r="B4" t="s">
        <v>31</v>
      </c>
      <c r="C4" t="s">
        <v>35</v>
      </c>
      <c r="D4" t="s">
        <v>39</v>
      </c>
      <c r="E4" t="s">
        <v>43</v>
      </c>
    </row>
    <row r="5" spans="1:5">
      <c r="A5">
        <v>4</v>
      </c>
      <c r="B5" t="s">
        <v>32</v>
      </c>
      <c r="C5" t="s">
        <v>36</v>
      </c>
      <c r="D5" t="s">
        <v>40</v>
      </c>
      <c r="E5" t="s">
        <v>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A1" s="1" t="s">
        <v>45</v>
      </c>
      <c r="B1" s="1" t="s">
        <v>46</v>
      </c>
      <c r="C1" s="1" t="s">
        <v>1</v>
      </c>
      <c r="D1" s="1" t="s">
        <v>47</v>
      </c>
      <c r="E1" s="1" t="s">
        <v>48</v>
      </c>
    </row>
    <row r="2" spans="1:5">
      <c r="A2" t="s">
        <v>49</v>
      </c>
      <c r="B2" t="s">
        <v>55</v>
      </c>
      <c r="C2" t="s">
        <v>61</v>
      </c>
      <c r="D2" t="s">
        <v>67</v>
      </c>
      <c r="E2" t="s">
        <v>73</v>
      </c>
    </row>
    <row r="3" spans="1:5">
      <c r="A3" t="s">
        <v>50</v>
      </c>
      <c r="B3" t="s">
        <v>56</v>
      </c>
      <c r="C3" t="s">
        <v>62</v>
      </c>
      <c r="D3" t="s">
        <v>68</v>
      </c>
      <c r="E3" t="s">
        <v>74</v>
      </c>
    </row>
    <row r="4" spans="1:5">
      <c r="A4" t="s">
        <v>51</v>
      </c>
      <c r="B4" t="s">
        <v>57</v>
      </c>
      <c r="C4" t="s">
        <v>63</v>
      </c>
      <c r="D4" t="s">
        <v>69</v>
      </c>
      <c r="E4" t="s">
        <v>75</v>
      </c>
    </row>
    <row r="5" spans="1:5">
      <c r="A5" t="s">
        <v>52</v>
      </c>
      <c r="B5" t="s">
        <v>58</v>
      </c>
      <c r="C5" t="s">
        <v>64</v>
      </c>
      <c r="D5" t="s">
        <v>70</v>
      </c>
      <c r="E5" t="s">
        <v>76</v>
      </c>
    </row>
    <row r="6" spans="1:5">
      <c r="A6" t="s">
        <v>53</v>
      </c>
      <c r="B6" t="s">
        <v>59</v>
      </c>
      <c r="C6" t="s">
        <v>65</v>
      </c>
      <c r="D6" t="s">
        <v>71</v>
      </c>
      <c r="E6" t="s">
        <v>77</v>
      </c>
    </row>
    <row r="7" spans="1:5">
      <c r="A7" t="s">
        <v>54</v>
      </c>
      <c r="B7" t="s">
        <v>60</v>
      </c>
      <c r="C7" t="s">
        <v>66</v>
      </c>
      <c r="D7" t="s">
        <v>72</v>
      </c>
      <c r="E7" t="s">
        <v>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79</v>
      </c>
      <c r="B1" s="1" t="s">
        <v>1</v>
      </c>
    </row>
    <row r="2" spans="1:2">
      <c r="A2" t="s">
        <v>4</v>
      </c>
      <c r="B2" t="s">
        <v>84</v>
      </c>
    </row>
    <row r="3" spans="1:2">
      <c r="A3" t="s">
        <v>80</v>
      </c>
      <c r="B3" t="s">
        <v>85</v>
      </c>
    </row>
    <row r="4" spans="1:2">
      <c r="A4" t="s">
        <v>81</v>
      </c>
      <c r="B4" t="s">
        <v>86</v>
      </c>
    </row>
    <row r="5" spans="1:2">
      <c r="A5" t="s">
        <v>82</v>
      </c>
      <c r="B5" t="s">
        <v>87</v>
      </c>
    </row>
    <row r="6" spans="1:2">
      <c r="A6" t="s">
        <v>83</v>
      </c>
      <c r="B6" t="s">
        <v>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1" t="s">
        <v>89</v>
      </c>
      <c r="B1" s="1" t="s">
        <v>90</v>
      </c>
      <c r="C1" s="1" t="s">
        <v>91</v>
      </c>
      <c r="D1" s="1" t="s">
        <v>92</v>
      </c>
      <c r="E1" s="1" t="s">
        <v>93</v>
      </c>
      <c r="F1" s="1" t="s">
        <v>94</v>
      </c>
    </row>
    <row r="2" spans="1:6">
      <c r="A2" t="s">
        <v>95</v>
      </c>
      <c r="B2" t="s">
        <v>67</v>
      </c>
      <c r="C2" t="s">
        <v>105</v>
      </c>
      <c r="D2" t="s">
        <v>112</v>
      </c>
      <c r="E2" t="s">
        <v>115</v>
      </c>
      <c r="F2" t="s">
        <v>122</v>
      </c>
    </row>
    <row r="3" spans="1:6">
      <c r="A3" t="s">
        <v>96</v>
      </c>
      <c r="B3" t="s">
        <v>68</v>
      </c>
      <c r="C3" t="s">
        <v>106</v>
      </c>
      <c r="D3" t="s">
        <v>112</v>
      </c>
      <c r="E3" t="s">
        <v>116</v>
      </c>
      <c r="F3" t="s">
        <v>123</v>
      </c>
    </row>
    <row r="4" spans="1:6">
      <c r="A4" t="s">
        <v>97</v>
      </c>
      <c r="B4" t="s">
        <v>69</v>
      </c>
      <c r="C4" t="s">
        <v>107</v>
      </c>
      <c r="D4" t="s">
        <v>113</v>
      </c>
      <c r="E4" t="s">
        <v>117</v>
      </c>
      <c r="F4" t="s">
        <v>123</v>
      </c>
    </row>
    <row r="5" spans="1:6">
      <c r="A5" t="s">
        <v>98</v>
      </c>
      <c r="B5" t="s">
        <v>72</v>
      </c>
      <c r="C5" t="s">
        <v>108</v>
      </c>
      <c r="D5" t="s">
        <v>114</v>
      </c>
      <c r="E5" t="s">
        <v>118</v>
      </c>
      <c r="F5" t="s">
        <v>122</v>
      </c>
    </row>
    <row r="6" spans="1:6">
      <c r="A6" t="s">
        <v>99</v>
      </c>
      <c r="B6" t="s">
        <v>102</v>
      </c>
      <c r="C6" t="s">
        <v>109</v>
      </c>
      <c r="D6" t="s">
        <v>113</v>
      </c>
      <c r="E6" t="s">
        <v>119</v>
      </c>
      <c r="F6" t="s">
        <v>124</v>
      </c>
    </row>
    <row r="7" spans="1:6">
      <c r="A7" t="s">
        <v>100</v>
      </c>
      <c r="B7" t="s">
        <v>103</v>
      </c>
      <c r="C7" t="s">
        <v>110</v>
      </c>
      <c r="D7" t="s">
        <v>112</v>
      </c>
      <c r="E7" t="s">
        <v>120</v>
      </c>
      <c r="F7" t="s">
        <v>123</v>
      </c>
    </row>
    <row r="8" spans="1:6">
      <c r="A8" t="s">
        <v>101</v>
      </c>
      <c r="B8" t="s">
        <v>104</v>
      </c>
      <c r="C8" t="s">
        <v>111</v>
      </c>
      <c r="D8" t="s">
        <v>114</v>
      </c>
      <c r="E8" t="s">
        <v>121</v>
      </c>
      <c r="F8" t="s">
        <v>124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1" t="s">
        <v>125</v>
      </c>
      <c r="B1" s="1" t="s">
        <v>25</v>
      </c>
      <c r="C1" s="1" t="s">
        <v>93</v>
      </c>
      <c r="D1" s="1" t="s">
        <v>126</v>
      </c>
      <c r="E1" s="1" t="s">
        <v>94</v>
      </c>
      <c r="F1" s="1" t="s">
        <v>127</v>
      </c>
    </row>
    <row r="2" spans="1:6">
      <c r="A2" t="s">
        <v>128</v>
      </c>
      <c r="B2" t="s">
        <v>67</v>
      </c>
      <c r="C2" t="s">
        <v>136</v>
      </c>
      <c r="D2" t="s">
        <v>143</v>
      </c>
      <c r="E2" t="s">
        <v>122</v>
      </c>
      <c r="F2" t="s">
        <v>150</v>
      </c>
    </row>
    <row r="3" spans="1:6">
      <c r="A3" t="s">
        <v>129</v>
      </c>
      <c r="B3" t="s">
        <v>135</v>
      </c>
      <c r="C3" t="s">
        <v>137</v>
      </c>
      <c r="D3" t="s">
        <v>144</v>
      </c>
      <c r="E3" t="s">
        <v>123</v>
      </c>
      <c r="F3" t="s">
        <v>151</v>
      </c>
    </row>
    <row r="4" spans="1:6">
      <c r="A4" t="s">
        <v>130</v>
      </c>
      <c r="B4" t="s">
        <v>103</v>
      </c>
      <c r="C4" t="s">
        <v>138</v>
      </c>
      <c r="D4" t="s">
        <v>145</v>
      </c>
      <c r="E4" t="s">
        <v>123</v>
      </c>
      <c r="F4" t="s">
        <v>152</v>
      </c>
    </row>
    <row r="5" spans="1:6">
      <c r="A5" t="s">
        <v>131</v>
      </c>
      <c r="B5" t="s">
        <v>72</v>
      </c>
      <c r="C5" t="s">
        <v>139</v>
      </c>
      <c r="D5" t="s">
        <v>146</v>
      </c>
      <c r="E5" t="s">
        <v>122</v>
      </c>
      <c r="F5" t="s">
        <v>153</v>
      </c>
    </row>
    <row r="6" spans="1:6">
      <c r="A6" t="s">
        <v>132</v>
      </c>
      <c r="B6" t="s">
        <v>102</v>
      </c>
      <c r="C6" t="s">
        <v>140</v>
      </c>
      <c r="D6" t="s">
        <v>147</v>
      </c>
      <c r="E6" t="s">
        <v>124</v>
      </c>
      <c r="F6" t="s">
        <v>154</v>
      </c>
    </row>
    <row r="7" spans="1:6">
      <c r="A7" t="s">
        <v>133</v>
      </c>
      <c r="B7" t="s">
        <v>69</v>
      </c>
      <c r="C7" t="s">
        <v>141</v>
      </c>
      <c r="D7" t="s">
        <v>148</v>
      </c>
      <c r="E7" t="s">
        <v>123</v>
      </c>
      <c r="F7" t="s">
        <v>155</v>
      </c>
    </row>
    <row r="8" spans="1:6">
      <c r="A8" t="s">
        <v>134</v>
      </c>
      <c r="B8" t="s">
        <v>104</v>
      </c>
      <c r="C8" t="s">
        <v>142</v>
      </c>
      <c r="D8" t="s">
        <v>149</v>
      </c>
      <c r="E8" t="s">
        <v>124</v>
      </c>
      <c r="F8" t="s">
        <v>156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157</v>
      </c>
      <c r="B1" s="1" t="s">
        <v>158</v>
      </c>
      <c r="C1" s="1" t="s">
        <v>93</v>
      </c>
      <c r="D1" s="1" t="s">
        <v>159</v>
      </c>
      <c r="E1" s="1" t="s">
        <v>94</v>
      </c>
    </row>
    <row r="2" spans="1:5">
      <c r="A2" t="s">
        <v>160</v>
      </c>
      <c r="B2" t="s">
        <v>163</v>
      </c>
      <c r="C2" t="s">
        <v>167</v>
      </c>
      <c r="D2" t="s">
        <v>171</v>
      </c>
      <c r="E2" t="s">
        <v>175</v>
      </c>
    </row>
    <row r="3" spans="1:5">
      <c r="A3" t="s">
        <v>161</v>
      </c>
      <c r="B3" t="s">
        <v>164</v>
      </c>
      <c r="C3" t="s">
        <v>168</v>
      </c>
      <c r="D3" t="s">
        <v>172</v>
      </c>
      <c r="E3" t="s">
        <v>175</v>
      </c>
    </row>
    <row r="4" spans="1:5">
      <c r="A4" t="s">
        <v>162</v>
      </c>
      <c r="B4" t="s">
        <v>165</v>
      </c>
      <c r="C4" t="s">
        <v>169</v>
      </c>
      <c r="D4" t="s">
        <v>173</v>
      </c>
      <c r="E4" t="s">
        <v>175</v>
      </c>
    </row>
    <row r="5" spans="1:5">
      <c r="A5" t="s">
        <v>53</v>
      </c>
      <c r="B5" t="s">
        <v>166</v>
      </c>
      <c r="C5" t="s">
        <v>170</v>
      </c>
      <c r="D5" t="s">
        <v>174</v>
      </c>
      <c r="E5" t="s">
        <v>175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176</v>
      </c>
      <c r="B1" s="1" t="s">
        <v>177</v>
      </c>
    </row>
    <row r="2" spans="1:2">
      <c r="A2" t="s">
        <v>178</v>
      </c>
      <c r="B2" t="s">
        <v>187</v>
      </c>
    </row>
    <row r="3" spans="1:2">
      <c r="A3" t="s">
        <v>179</v>
      </c>
      <c r="B3" t="s">
        <v>188</v>
      </c>
    </row>
    <row r="4" spans="1:2">
      <c r="A4" t="s">
        <v>180</v>
      </c>
      <c r="B4" t="s">
        <v>189</v>
      </c>
    </row>
    <row r="5" spans="1:2">
      <c r="A5" t="s">
        <v>181</v>
      </c>
      <c r="B5" t="s">
        <v>190</v>
      </c>
    </row>
    <row r="6" spans="1:2">
      <c r="A6" t="s">
        <v>182</v>
      </c>
      <c r="B6" t="s">
        <v>191</v>
      </c>
    </row>
    <row r="7" spans="1:2">
      <c r="A7" t="s">
        <v>183</v>
      </c>
      <c r="B7" t="s">
        <v>192</v>
      </c>
    </row>
    <row r="8" spans="1:2">
      <c r="A8" t="s">
        <v>184</v>
      </c>
      <c r="B8" t="s">
        <v>193</v>
      </c>
    </row>
    <row r="9" spans="1:2">
      <c r="A9" t="s">
        <v>185</v>
      </c>
      <c r="B9" t="s">
        <v>194</v>
      </c>
    </row>
    <row r="10" spans="1:2">
      <c r="A10" t="s">
        <v>186</v>
      </c>
      <c r="B10" t="s">
        <v>195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FormatPr defaultRowHeight="15"/>
  <sheetData>
    <row r="1" spans="1:9">
      <c r="A1" s="1" t="s">
        <v>196</v>
      </c>
      <c r="B1" s="1" t="s">
        <v>197</v>
      </c>
      <c r="C1" s="1" t="s">
        <v>198</v>
      </c>
      <c r="D1" s="1" t="s">
        <v>199</v>
      </c>
      <c r="E1" s="1" t="s">
        <v>200</v>
      </c>
      <c r="F1" s="1" t="s">
        <v>201</v>
      </c>
      <c r="G1" s="1" t="s">
        <v>202</v>
      </c>
      <c r="H1" s="1" t="s">
        <v>203</v>
      </c>
      <c r="I1" s="1" t="s">
        <v>204</v>
      </c>
    </row>
    <row r="2" spans="1:9">
      <c r="A2" t="s">
        <v>205</v>
      </c>
      <c r="B2" t="s">
        <v>211</v>
      </c>
      <c r="C2" t="s">
        <v>217</v>
      </c>
      <c r="D2" t="s">
        <v>223</v>
      </c>
      <c r="E2" t="s">
        <v>229</v>
      </c>
      <c r="F2" t="s">
        <v>235</v>
      </c>
      <c r="G2" t="s">
        <v>241</v>
      </c>
      <c r="H2" t="s">
        <v>247</v>
      </c>
      <c r="I2" t="s">
        <v>253</v>
      </c>
    </row>
    <row r="3" spans="1:9">
      <c r="A3" t="s">
        <v>206</v>
      </c>
      <c r="B3" t="s">
        <v>212</v>
      </c>
      <c r="C3" t="s">
        <v>218</v>
      </c>
      <c r="D3" t="s">
        <v>224</v>
      </c>
      <c r="E3" t="s">
        <v>230</v>
      </c>
      <c r="F3" t="s">
        <v>236</v>
      </c>
      <c r="G3" t="s">
        <v>242</v>
      </c>
      <c r="H3" t="s">
        <v>248</v>
      </c>
      <c r="I3" t="s">
        <v>254</v>
      </c>
    </row>
    <row r="4" spans="1:9">
      <c r="A4" t="s">
        <v>207</v>
      </c>
      <c r="B4" t="s">
        <v>213</v>
      </c>
      <c r="C4" t="s">
        <v>219</v>
      </c>
      <c r="D4" t="s">
        <v>225</v>
      </c>
      <c r="E4" t="s">
        <v>231</v>
      </c>
      <c r="F4" t="s">
        <v>237</v>
      </c>
      <c r="G4" t="s">
        <v>243</v>
      </c>
      <c r="H4" t="s">
        <v>249</v>
      </c>
      <c r="I4" t="s">
        <v>255</v>
      </c>
    </row>
    <row r="5" spans="1:9">
      <c r="A5" t="s">
        <v>208</v>
      </c>
      <c r="B5" t="s">
        <v>214</v>
      </c>
      <c r="C5" t="s">
        <v>220</v>
      </c>
      <c r="D5" t="s">
        <v>226</v>
      </c>
      <c r="E5" t="s">
        <v>232</v>
      </c>
      <c r="F5" t="s">
        <v>238</v>
      </c>
      <c r="G5" t="s">
        <v>244</v>
      </c>
      <c r="H5" t="s">
        <v>250</v>
      </c>
      <c r="I5" t="s">
        <v>256</v>
      </c>
    </row>
    <row r="6" spans="1:9">
      <c r="A6" t="s">
        <v>209</v>
      </c>
      <c r="B6" t="s">
        <v>215</v>
      </c>
      <c r="C6" t="s">
        <v>221</v>
      </c>
      <c r="D6" t="s">
        <v>227</v>
      </c>
      <c r="E6" t="s">
        <v>233</v>
      </c>
      <c r="F6" t="s">
        <v>239</v>
      </c>
      <c r="G6" t="s">
        <v>245</v>
      </c>
      <c r="H6" t="s">
        <v>251</v>
      </c>
      <c r="I6" t="s">
        <v>257</v>
      </c>
    </row>
    <row r="7" spans="1:9">
      <c r="A7" t="s">
        <v>210</v>
      </c>
      <c r="B7" t="s">
        <v>216</v>
      </c>
      <c r="C7" t="s">
        <v>222</v>
      </c>
      <c r="D7" t="s">
        <v>228</v>
      </c>
      <c r="E7" t="s">
        <v>234</v>
      </c>
      <c r="F7" t="s">
        <v>240</v>
      </c>
      <c r="G7" t="s">
        <v>246</v>
      </c>
      <c r="H7" t="s">
        <v>252</v>
      </c>
      <c r="I7" t="s">
        <v>258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s="1" t="s">
        <v>259</v>
      </c>
      <c r="B1" s="1" t="s">
        <v>260</v>
      </c>
      <c r="C1" s="1" t="s">
        <v>261</v>
      </c>
      <c r="D1" s="1" t="s">
        <v>262</v>
      </c>
      <c r="E1" s="1" t="s">
        <v>127</v>
      </c>
    </row>
    <row r="2" spans="1:5">
      <c r="A2" t="s">
        <v>263</v>
      </c>
      <c r="B2">
        <v>3</v>
      </c>
      <c r="C2">
        <v>3</v>
      </c>
      <c r="D2">
        <v>5</v>
      </c>
      <c r="E2" t="s">
        <v>270</v>
      </c>
    </row>
    <row r="3" spans="1:5">
      <c r="A3" t="s">
        <v>264</v>
      </c>
      <c r="B3">
        <v>2</v>
      </c>
      <c r="C3">
        <v>0</v>
      </c>
      <c r="D3">
        <v>5</v>
      </c>
      <c r="E3" t="s">
        <v>271</v>
      </c>
    </row>
    <row r="4" spans="1:5">
      <c r="A4" t="s">
        <v>265</v>
      </c>
      <c r="B4">
        <v>1</v>
      </c>
      <c r="C4">
        <v>0</v>
      </c>
      <c r="D4">
        <v>3</v>
      </c>
      <c r="E4" t="s">
        <v>272</v>
      </c>
    </row>
    <row r="5" spans="1:5">
      <c r="A5" t="s">
        <v>266</v>
      </c>
      <c r="B5">
        <v>30</v>
      </c>
      <c r="C5">
        <v>0</v>
      </c>
      <c r="D5">
        <v>120</v>
      </c>
      <c r="E5" t="s">
        <v>273</v>
      </c>
    </row>
    <row r="6" spans="1:5">
      <c r="A6" t="s">
        <v>267</v>
      </c>
      <c r="B6">
        <v>1</v>
      </c>
      <c r="C6">
        <v>0.5</v>
      </c>
      <c r="D6">
        <v>1</v>
      </c>
      <c r="E6" t="s">
        <v>274</v>
      </c>
    </row>
    <row r="7" spans="1:5">
      <c r="A7" t="s">
        <v>268</v>
      </c>
      <c r="B7">
        <v>0.35</v>
      </c>
      <c r="C7">
        <v>0.1</v>
      </c>
      <c r="D7">
        <v>0.6</v>
      </c>
      <c r="E7" t="s">
        <v>275</v>
      </c>
    </row>
    <row r="8" spans="1:5">
      <c r="A8" t="s">
        <v>269</v>
      </c>
      <c r="B8">
        <v>99</v>
      </c>
      <c r="C8">
        <v>10</v>
      </c>
      <c r="D8">
        <v>999</v>
      </c>
      <c r="E8" t="s">
        <v>276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277</v>
      </c>
      <c r="B1" s="1" t="s">
        <v>1</v>
      </c>
      <c r="C1" s="1" t="s">
        <v>278</v>
      </c>
      <c r="D1" s="1" t="s">
        <v>279</v>
      </c>
    </row>
    <row r="2" spans="1:4">
      <c r="A2" t="s">
        <v>280</v>
      </c>
      <c r="B2" t="s">
        <v>282</v>
      </c>
      <c r="C2" t="s">
        <v>284</v>
      </c>
      <c r="D2" t="s">
        <v>286</v>
      </c>
    </row>
    <row r="3" spans="1:4">
      <c r="A3" t="s">
        <v>281</v>
      </c>
      <c r="B3" t="s">
        <v>283</v>
      </c>
      <c r="C3" t="s">
        <v>285</v>
      </c>
      <c r="D3" t="s">
        <v>287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80.7109375" customWidth="1"/>
    <col min="3" max="3" width="21.7109375" customWidth="1"/>
    <col min="4" max="5" width="20.7109375" customWidth="1"/>
    <col min="6" max="7" width="25.7109375" customWidth="1"/>
    <col min="8" max="8" width="42.7109375" customWidth="1"/>
    <col min="9" max="9" width="21.7109375" customWidth="1"/>
  </cols>
  <sheetData>
    <row r="1" spans="1:9">
      <c r="A1" s="2" t="s">
        <v>288</v>
      </c>
      <c r="B1" s="2" t="s">
        <v>289</v>
      </c>
      <c r="C1" s="2" t="s">
        <v>290</v>
      </c>
      <c r="D1" s="2" t="s">
        <v>291</v>
      </c>
      <c r="E1" s="2" t="s">
        <v>292</v>
      </c>
      <c r="F1" s="2" t="s">
        <v>293</v>
      </c>
      <c r="G1" s="2" t="s">
        <v>330</v>
      </c>
      <c r="H1" s="2" t="s">
        <v>294</v>
      </c>
      <c r="I1" s="2" t="s">
        <v>127</v>
      </c>
    </row>
    <row r="2" spans="1:9">
      <c r="A2" t="s">
        <v>295</v>
      </c>
      <c r="B2">
        <f>(EliteKills*elite_drop_chance)+(BossKills*AVERAGE(boss_drop_fragments_min,boss_drop_fragments_max))</f>
        <v>0</v>
      </c>
      <c r="C2" t="s">
        <v>299</v>
      </c>
      <c r="D2" t="s">
        <v>301</v>
      </c>
      <c r="E2" t="s">
        <v>321</v>
      </c>
      <c r="F2" t="s">
        <v>322</v>
      </c>
      <c r="G2" t="s">
        <v>323</v>
      </c>
      <c r="H2">
        <f>C2*E2 + D2*AVERAGE(F2,G2)</f>
        <v>0</v>
      </c>
      <c r="I2" t="s">
        <v>307</v>
      </c>
    </row>
    <row r="3" spans="1:9">
      <c r="A3" t="s">
        <v>331</v>
      </c>
      <c r="B3">
        <f>IF(Metrics!H2=0,0, Metrics!H2 / fragments_per_charm)</f>
        <v>0</v>
      </c>
      <c r="C3" t="s">
        <v>320</v>
      </c>
      <c r="G3">
        <v>0</v>
      </c>
      <c r="H3">
        <f>IF(Metrics!H2=0,0, Metrics!H2 / C3)</f>
        <v>0</v>
      </c>
      <c r="I3" t="s">
        <v>308</v>
      </c>
    </row>
    <row r="4" spans="1:9">
      <c r="A4" t="s">
        <v>297</v>
      </c>
      <c r="B4">
        <f>(EffectWeight*Usefulness) - (EssenceCost*essence_token_value + RemainsCost*remains_token_value)</f>
        <v>0</v>
      </c>
      <c r="C4" t="s">
        <v>300</v>
      </c>
      <c r="D4" t="s">
        <v>302</v>
      </c>
      <c r="E4" t="s">
        <v>304</v>
      </c>
      <c r="F4" t="s">
        <v>319</v>
      </c>
      <c r="G4" t="s">
        <v>318</v>
      </c>
      <c r="H4">
        <f>C4*D4 - (E4*Metrics!C2 + F4*Metrics!C1)</f>
        <v>0</v>
      </c>
      <c r="I4" t="s">
        <v>309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6.7109375" customWidth="1"/>
    <col min="2" max="3" width="80.7109375" customWidth="1"/>
  </cols>
  <sheetData>
    <row r="1" spans="1:3">
      <c r="A1" s="2" t="s">
        <v>310</v>
      </c>
      <c r="B1" s="2" t="s">
        <v>311</v>
      </c>
      <c r="C1" s="2" t="s">
        <v>127</v>
      </c>
    </row>
    <row r="2" spans="1:3">
      <c r="A2" t="s">
        <v>312</v>
      </c>
      <c r="B2" cm="1">
        <f t="array" ref="B2">_xlfn.XLOOKUP("token_value_per_essence",'[Resources_List_With_Folder_Structure_SeedsOutputs_Metrics.xlsx]Globals'!$B:$B,'[Resources_List_With_Folder_Structure_SeedsOutputs_Metrics.xlsx]Globals'!$C:$C,0)</f>
        <v>0</v>
      </c>
      <c r="C2" t="s">
        <v>314</v>
      </c>
    </row>
    <row r="3" spans="1:3">
      <c r="A3" t="s">
        <v>313</v>
      </c>
      <c r="B3" cm="1">
        <f t="array" ref="B3">_xlfn.XLOOKUP("token_value_per_remain",'[Resources_List_With_Folder_Structure_SeedsOutputs_Metrics.xlsx]Globals'!$B:$B,'[Resources_List_With_Folder_Structure_SeedsOutputs_Metrics.xlsx]Globals'!$C:$C,0)</f>
        <v>0</v>
      </c>
      <c r="C3" t="s">
        <v>315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20.7109375" customWidth="1"/>
    <col min="3" max="3" width="62.7109375" customWidth="1"/>
  </cols>
  <sheetData>
    <row r="1" spans="1:3">
      <c r="A1" s="2" t="s">
        <v>316</v>
      </c>
      <c r="B1" s="2" t="s">
        <v>317</v>
      </c>
      <c r="C1" s="2" t="s">
        <v>127</v>
      </c>
    </row>
    <row r="2" spans="1:3">
      <c r="A2" t="s">
        <v>318</v>
      </c>
      <c r="B2">
        <f>External_Links!B2</f>
        <v>0</v>
      </c>
      <c r="C2" t="s">
        <v>324</v>
      </c>
    </row>
    <row r="3" spans="1:3">
      <c r="A3" t="s">
        <v>319</v>
      </c>
      <c r="B3">
        <f>External_Links!B3</f>
        <v>0</v>
      </c>
      <c r="C3" t="s">
        <v>325</v>
      </c>
    </row>
    <row r="4" spans="1:3">
      <c r="A4" t="s">
        <v>320</v>
      </c>
      <c r="B4">
        <v>3</v>
      </c>
      <c r="C4" t="s">
        <v>326</v>
      </c>
    </row>
    <row r="5" spans="1:3">
      <c r="A5" t="s">
        <v>321</v>
      </c>
      <c r="B5">
        <v>0.35</v>
      </c>
      <c r="C5" t="s">
        <v>327</v>
      </c>
    </row>
    <row r="6" spans="1:3">
      <c r="A6" t="s">
        <v>322</v>
      </c>
      <c r="B6">
        <v>1</v>
      </c>
      <c r="C6" t="s">
        <v>328</v>
      </c>
    </row>
    <row r="7" spans="1:3">
      <c r="A7" t="s">
        <v>323</v>
      </c>
      <c r="B7">
        <v>3</v>
      </c>
      <c r="C7" t="s">
        <v>329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G7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0.7109375" customWidth="1"/>
    <col min="5" max="5" width="39.7109375" customWidth="1"/>
    <col min="6" max="6" width="20.7109375" customWidth="1"/>
    <col min="7" max="7" width="49.7109375" customWidth="1"/>
  </cols>
  <sheetData>
    <row r="1" spans="1:7">
      <c r="A1" s="2" t="s">
        <v>332</v>
      </c>
      <c r="B1" s="2" t="s">
        <v>333</v>
      </c>
      <c r="C1" s="2" t="s">
        <v>125</v>
      </c>
      <c r="D1" s="2" t="s">
        <v>334</v>
      </c>
      <c r="E1" s="2" t="s">
        <v>335</v>
      </c>
      <c r="F1" s="2" t="s">
        <v>336</v>
      </c>
      <c r="G1" s="2" t="s">
        <v>127</v>
      </c>
    </row>
    <row r="2" spans="1:7">
      <c r="A2" t="s">
        <v>337</v>
      </c>
      <c r="B2" t="s">
        <v>343</v>
      </c>
      <c r="C2" t="s">
        <v>128</v>
      </c>
      <c r="D2">
        <v>3</v>
      </c>
      <c r="E2" t="s">
        <v>349</v>
      </c>
      <c r="F2">
        <v>1</v>
      </c>
      <c r="G2" t="s">
        <v>355</v>
      </c>
    </row>
    <row r="3" spans="1:7">
      <c r="A3" t="s">
        <v>338</v>
      </c>
      <c r="B3" t="s">
        <v>344</v>
      </c>
      <c r="C3" t="s">
        <v>131</v>
      </c>
      <c r="D3">
        <v>3</v>
      </c>
      <c r="E3" t="s">
        <v>350</v>
      </c>
      <c r="F3">
        <v>1</v>
      </c>
      <c r="G3" t="s">
        <v>356</v>
      </c>
    </row>
    <row r="4" spans="1:7">
      <c r="A4" t="s">
        <v>339</v>
      </c>
      <c r="B4" t="s">
        <v>345</v>
      </c>
      <c r="C4" t="s">
        <v>130</v>
      </c>
      <c r="D4">
        <v>3</v>
      </c>
      <c r="E4" t="s">
        <v>351</v>
      </c>
      <c r="F4">
        <v>1</v>
      </c>
      <c r="G4" t="s">
        <v>357</v>
      </c>
    </row>
    <row r="5" spans="1:7">
      <c r="A5" t="s">
        <v>340</v>
      </c>
      <c r="B5" t="s">
        <v>346</v>
      </c>
      <c r="C5" t="s">
        <v>132</v>
      </c>
      <c r="D5">
        <v>3</v>
      </c>
      <c r="E5" t="s">
        <v>352</v>
      </c>
      <c r="F5">
        <v>2</v>
      </c>
      <c r="G5" t="s">
        <v>358</v>
      </c>
    </row>
    <row r="6" spans="1:7">
      <c r="A6" t="s">
        <v>341</v>
      </c>
      <c r="B6" t="s">
        <v>347</v>
      </c>
      <c r="C6" t="s">
        <v>133</v>
      </c>
      <c r="D6">
        <v>3</v>
      </c>
      <c r="E6" t="s">
        <v>353</v>
      </c>
      <c r="F6">
        <v>2</v>
      </c>
      <c r="G6" t="s">
        <v>359</v>
      </c>
    </row>
    <row r="7" spans="1:7">
      <c r="A7" t="s">
        <v>342</v>
      </c>
      <c r="B7" t="s">
        <v>348</v>
      </c>
      <c r="C7" t="s">
        <v>134</v>
      </c>
      <c r="D7">
        <v>2</v>
      </c>
      <c r="E7" t="s">
        <v>354</v>
      </c>
      <c r="F7">
        <v>1</v>
      </c>
      <c r="G7" t="s">
        <v>360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Overview</vt:lpstr>
      <vt:lpstr>Core_Loop</vt:lpstr>
      <vt:lpstr>Fragment_Types</vt:lpstr>
      <vt:lpstr>Relic_Forge</vt:lpstr>
      <vt:lpstr>Recipes</vt:lpstr>
      <vt:lpstr>Charms_Catalog</vt:lpstr>
      <vt:lpstr>Boss_Unique_Charms</vt:lpstr>
      <vt:lpstr>Interactions</vt:lpstr>
      <vt:lpstr>Hooks</vt:lpstr>
      <vt:lpstr>Tuning_Defaults</vt:lpstr>
      <vt:lpstr>Resource_Summary</vt:lpstr>
      <vt:lpstr>Computed_Metrics</vt:lpstr>
      <vt:lpstr>External_Links</vt:lpstr>
      <vt:lpstr>Metrics</vt:lpstr>
      <vt:lpstr>Charm_Sets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2025-10-31T21:02:40Z</dcterms:created>
  <dcterms:modified xsi:type="dcterms:W3CDTF">2025-10-31T21:02:40Z</dcterms:modified>
</cp:coreProperties>
</file>