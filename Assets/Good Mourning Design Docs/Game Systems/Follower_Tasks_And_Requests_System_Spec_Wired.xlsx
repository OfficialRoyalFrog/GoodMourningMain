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ore_Loop" sheetId="2" r:id="rId2"/>
    <sheet name="Task_Roles" sheetId="3" r:id="rId3"/>
    <sheet name="Job_Performance_Factors" sheetId="4" r:id="rId4"/>
    <sheet name="Requests_System" sheetId="5" r:id="rId5"/>
    <sheet name="Request_Categories" sheetId="6" r:id="rId6"/>
    <sheet name="Temperament_Variance" sheetId="7" r:id="rId7"/>
    <sheet name="Flavor_Lines" sheetId="8" r:id="rId8"/>
    <sheet name="Interactions" sheetId="9" r:id="rId9"/>
    <sheet name="Hooks" sheetId="10" r:id="rId10"/>
    <sheet name="Tuning_Defaults" sheetId="11" r:id="rId11"/>
    <sheet name="Resource_Summary" sheetId="12" r:id="rId12"/>
    <sheet name="Computed_Metrics" sheetId="13" r:id="rId13"/>
    <sheet name="External_Links" sheetId="14" r:id="rId14"/>
    <sheet name="Tasks_Output_Map" sheetId="15" r:id="rId15"/>
    <sheet name="Request_Templates" sheetId="16" r:id="rId16"/>
    <sheet name="Computed_Metrics_Wired" sheetId="17" r:id="rId17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<sst xmlns="http://schemas.openxmlformats.org/spreadsheetml/2006/main" count="498" uniqueCount="407">
  <si>
    <t>Field</t>
  </si>
  <si>
    <t>Description</t>
  </si>
  <si>
    <t>System Name</t>
  </si>
  <si>
    <t>Tagline</t>
  </si>
  <si>
    <t>Purpose</t>
  </si>
  <si>
    <t>One‑line Summary</t>
  </si>
  <si>
    <t>Core Loop</t>
  </si>
  <si>
    <t>Scheduling Model</t>
  </si>
  <si>
    <t>Key Systems Touched</t>
  </si>
  <si>
    <t>Success Criteria</t>
  </si>
  <si>
    <t>Author</t>
  </si>
  <si>
    <t>Version</t>
  </si>
  <si>
    <t>Last Updated</t>
  </si>
  <si>
    <t>Follower Tasks &amp; Requests System — “The Work of the Dead”</t>
  </si>
  <si>
    <t>Even in death, there’s always something to do.</t>
  </si>
  <si>
    <t>Give every ghost a tangible purpose and emotional personality through daily jobs and small personal quests.</t>
  </si>
  <si>
    <t>Assign roles; ghosts work, complain, and occasionally ask for favors that shape mood, bond, and the day’s events.</t>
  </si>
  <si>
    <t>Assign Roles → Perform Tasks → Handle Requests → Fulfill/Ignore → Rotate Roles / Rest</t>
  </si>
  <si>
    <t>Option B — Independent Daily RNG per ghost (chaotic, emergent).</t>
  </si>
  <si>
    <t>Contentment, Bond, Essence, Manifest/Ectoplasm, Garden, Rituals, Charms, Potions, Remains</t>
  </si>
  <si>
    <t>• Tasks feel useful and characterful • Requests arise naturally and are fun to fulfill • Ignoring has bite but isn’t punishing • Stories emerge from personalities</t>
  </si>
  <si>
    <t>Brandon (Caretaker Designer)</t>
  </si>
  <si>
    <t>1.0</t>
  </si>
  <si>
    <t>2025-10-31 21:17 UTC</t>
  </si>
  <si>
    <t>Phase</t>
  </si>
  <si>
    <t>Name</t>
  </si>
  <si>
    <t>What Happens</t>
  </si>
  <si>
    <t>Rules</t>
  </si>
  <si>
    <t>UX Cues</t>
  </si>
  <si>
    <t>Assign Roles</t>
  </si>
  <si>
    <t>Perform Tasks</t>
  </si>
  <si>
    <t>Handle Requests</t>
  </si>
  <si>
    <t>Fulfill or Ignore</t>
  </si>
  <si>
    <t>Rotate Roles / Rest</t>
  </si>
  <si>
    <t>Each ghost can hold one task role at a time.</t>
  </si>
  <si>
    <t>Ghosts work automatically during the day based on role.</t>
  </si>
  <si>
    <t>Random per‑ghost daily request (independent RNG).</t>
  </si>
  <si>
    <t>Completion boosts Bond/Contentment; ignoring risks Unrest or reduced Essence.</t>
  </si>
  <si>
    <t>Overworking increases Flicker; assign rest or swap roles.</t>
  </si>
  <si>
    <t>Roles affect resource production, upkeep, or mood stability.</t>
  </si>
  <si>
    <t>Productivity depends on Contentment, Appetite, Temperament.</t>
  </si>
  <si>
    <t>Requests tie to role or emotional need.</t>
  </si>
  <si>
    <t>Track outcome per ghost in history for dialogue hooks.</t>
  </si>
  <si>
    <t>Temperament affects fit; rest restores Flicker.</t>
  </si>
  <si>
    <t>Follower Panel → Role picker; show synergy hints.</t>
  </si>
  <si>
    <t>Overhead icons: working, idle, sabotaging.</t>
  </si>
  <si>
    <t>Glow + approach → dialogue toast + accept/delay/decline.</t>
  </si>
  <si>
    <t>Mini interactions or short errands; small vignette.</t>
  </si>
  <si>
    <t>Daily summary: who needs rest; highlight red flags.</t>
  </si>
  <si>
    <t>Role</t>
  </si>
  <si>
    <t>Produces / Affects</t>
  </si>
  <si>
    <t>Temperament Synergy</t>
  </si>
  <si>
    <t>Caretaker (Healer)</t>
  </si>
  <si>
    <t>Janitor</t>
  </si>
  <si>
    <t>Gardener</t>
  </si>
  <si>
    <t>Builder</t>
  </si>
  <si>
    <t>Forager</t>
  </si>
  <si>
    <t>Alchemist</t>
  </si>
  <si>
    <t>Ritual Assistant</t>
  </si>
  <si>
    <t>Storyteller</t>
  </si>
  <si>
    <t>Sentinel</t>
  </si>
  <si>
    <t>Tends Manifesting/Flickering ghosts; stabilizes mood.</t>
  </si>
  <si>
    <t>Cleans Ectoplasm; fixes small messes/decor.</t>
  </si>
  <si>
    <t>Works Garden of Rest plots.</t>
  </si>
  <si>
    <t>Repairs/upgrades structures.</t>
  </si>
  <si>
    <t>Collects Timber/Rock around outskirts.</t>
  </si>
  <si>
    <t>Brews Potions at Alchemy Table.</t>
  </si>
  <si>
    <t>Helps ceremonies; preps materials.</t>
  </si>
  <si>
    <t>Campfire gatherings/bedtime tales.</t>
  </si>
  <si>
    <t>Night watch; responds to surges.</t>
  </si>
  <si>
    <t>Prevents contagion; recovers Flicker.</t>
  </si>
  <si>
    <t>Prevents Contentment decay from filth; small Essence pips on clean.</t>
  </si>
  <si>
    <t>Produces Offerings, Flowers, Ectofruit.</t>
  </si>
  <si>
    <t>Restores HP; speeds construction queues.</t>
  </si>
  <si>
    <t>Passive inflow for builds/repairs.</t>
  </si>
  <si>
    <t>Creates consumables; quality scales with Contentment.</t>
  </si>
  <si>
    <t>Reduces Remains/Essence ritual costs.</t>
  </si>
  <si>
    <t>Raises local Contentment &amp; Bond.</t>
  </si>
  <si>
    <t>Slows Unrest spread; fewer nocturnal leaks.</t>
  </si>
  <si>
    <t>Mournful/Calm excel; Spiteful may worsen.</t>
  </si>
  <si>
    <t>Tricksters dislike; Gloomy/Anxious steady.</t>
  </si>
  <si>
    <t>Bright/Mournful good; bonus if linked to nearby bed.</t>
  </si>
  <si>
    <t>Stoic/Cold efficient; Trickster chaotic.</t>
  </si>
  <si>
    <t>Spiteful/Lonely prefer solitude; stable output.</t>
  </si>
  <si>
    <t>Fanatic excels; Trickster causes mishaps.</t>
  </si>
  <si>
    <t>Fanatic/Cold thrive; Gloomy refuses.</t>
  </si>
  <si>
    <t>Bright/Lonely love; boosts Garden vigor at night.</t>
  </si>
  <si>
    <t>Spiteful/Fanatic guard aggressively.</t>
  </si>
  <si>
    <t>Stat / System</t>
  </si>
  <si>
    <t>Effect on Work</t>
  </si>
  <si>
    <t>Parameter Hook</t>
  </si>
  <si>
    <t>Typical Range</t>
  </si>
  <si>
    <t>Contentment</t>
  </si>
  <si>
    <t>Appetite</t>
  </si>
  <si>
    <t>Flicker</t>
  </si>
  <si>
    <t>Bond</t>
  </si>
  <si>
    <t>Temperament</t>
  </si>
  <si>
    <t>High = faster work, fewer mistakes. Low = sabotage, skipped shifts.</t>
  </si>
  <si>
    <t>Low Appetite slows work, risk of Manifest.</t>
  </si>
  <si>
    <t>Low Flicker stops work until rested.</t>
  </si>
  <si>
    <t>Higher Bond improves reliability &amp; request positivity.</t>
  </si>
  <si>
    <t>Adds variance (Trickster creative repairs; Stoic steady).</t>
  </si>
  <si>
    <t>contentment_scalar</t>
  </si>
  <si>
    <t>appetite_scalar</t>
  </si>
  <si>
    <t>flicker_gate</t>
  </si>
  <si>
    <t>bond_scalar</t>
  </si>
  <si>
    <t>temperament_fit</t>
  </si>
  <si>
    <t>0.5–1.5</t>
  </si>
  <si>
    <t>0.6–1.0</t>
  </si>
  <si>
    <t>Threshold 0.2</t>
  </si>
  <si>
    <t>1.0–1.3</t>
  </si>
  <si>
    <t>0.8–1.2</t>
  </si>
  <si>
    <t>Step</t>
  </si>
  <si>
    <t>Trigger Chance</t>
  </si>
  <si>
    <t>Notification</t>
  </si>
  <si>
    <t>Completion</t>
  </si>
  <si>
    <t>Rewards</t>
  </si>
  <si>
    <t>Failure</t>
  </si>
  <si>
    <t>Randomized daily per ghost; weighted by Bond/Temperament and yesterday’s outcomes.</t>
  </si>
  <si>
    <t>Ghost glows; approaches with short dialogue; present Accept / Decline / Delay.</t>
  </si>
  <si>
    <t>Short vignette (plant flower / fix tool / share tea); logs to ghost history.</t>
  </si>
  <si>
    <t>Bond, Contentment, Essence; sometimes Grace or Mementos.</t>
  </si>
  <si>
    <t>Reduced Bond; small local Unrest ripple (contagion).</t>
  </si>
  <si>
    <t>Category</t>
  </si>
  <si>
    <t>Example</t>
  </si>
  <si>
    <t>Reward / Risk</t>
  </si>
  <si>
    <t>Personal Favor</t>
  </si>
  <si>
    <t>Conflict</t>
  </si>
  <si>
    <t>Work‑Related</t>
  </si>
  <si>
    <t>Ritual Desire</t>
  </si>
  <si>
    <t>Material</t>
  </si>
  <si>
    <t>Joke / Chaos</t>
  </si>
  <si>
    <t>Endgame / Memory</t>
  </si>
  <si>
    <t>“Plant flowers by my grave.”</t>
  </si>
  <si>
    <t>“Tell the Trickster to stop hiding my tools.”</t>
  </si>
  <si>
    <t>“The Garden feels crowded. Let me work elsewhere.”</t>
  </si>
  <si>
    <t>“Hold a release for my friend.”</t>
  </si>
  <si>
    <t>“My Charm cracked. Can I get a new one?”</t>
  </si>
  <si>
    <t>“Drink the potion I made.”</t>
  </si>
  <si>
    <t>“Tell my story before I fade.”</t>
  </si>
  <si>
    <t>+Bond, +Contentment</t>
  </si>
  <si>
    <t>Resolve → both Bonds up; ignore → Unrest spread.</t>
  </si>
  <si>
    <t>Small Essence/Grace reward if honored.</t>
  </si>
  <si>
    <t>+Grace; costs Remains.</t>
  </si>
  <si>
    <t>Gift/forge; test crafting loops.</t>
  </si>
  <si>
    <t>Minor reward or funny side effect.</t>
  </si>
  <si>
    <t>Codex entry + Memoria.</t>
  </si>
  <si>
    <t>Typical Requests</t>
  </si>
  <si>
    <t>Unique Reactions</t>
  </si>
  <si>
    <t>Mournful</t>
  </si>
  <si>
    <t>Trickster</t>
  </si>
  <si>
    <t>Spiteful</t>
  </si>
  <si>
    <t>Cold</t>
  </si>
  <si>
    <t>Fanatic</t>
  </si>
  <si>
    <t>Bright</t>
  </si>
  <si>
    <t>Vigils, memorials; sensitive to neglect.</t>
  </si>
  <si>
    <t>Silly dares, pranks.</t>
  </si>
  <si>
    <t>Conflict ultimatums; justice demands.</t>
  </si>
  <si>
    <t>Optimization &amp; order requests.</t>
  </si>
  <si>
    <t>Ritual/control requests.</t>
  </si>
  <si>
    <t>Celebrations, kindness acts.</t>
  </si>
  <si>
    <t>Ignoring causes sharp Contentment drop.</t>
  </si>
  <si>
    <t>Success → big Bond; failure → Manifest prank.</t>
  </si>
  <si>
    <t>Branching events if ignored.</t>
  </si>
  <si>
    <t>Annoyed on failure but no drama.</t>
  </si>
  <si>
    <t>Ignoring creates Unrest ripple.</t>
  </si>
  <si>
    <t>Boosts overall Contentment on success.</t>
  </si>
  <si>
    <t>Context</t>
  </si>
  <si>
    <t>Line</t>
  </si>
  <si>
    <t>General</t>
  </si>
  <si>
    <t>“You’ve been ignoring me again, haven’t you?”</t>
  </si>
  <si>
    <t>“The flower by my grave wilted. I think it misses me.”</t>
  </si>
  <si>
    <t>“Let me fix something. Anything. I need to feel useful.”</t>
  </si>
  <si>
    <t>“Can we all sing tonight? It gets too quiet here.”</t>
  </si>
  <si>
    <t>“If I prank the Fanatic again, will you laugh this time or scold me?”</t>
  </si>
  <si>
    <t>System</t>
  </si>
  <si>
    <t>Interaction</t>
  </si>
  <si>
    <t>Grace</t>
  </si>
  <si>
    <t>Charms</t>
  </si>
  <si>
    <t>Potions</t>
  </si>
  <si>
    <t>Remains</t>
  </si>
  <si>
    <t>Requests directly affect base happiness; task cleanliness prevents decay.</t>
  </si>
  <si>
    <t>Requests are the main way Bonds grow.</t>
  </si>
  <si>
    <t>Deep/emotional requests yield small Grace.</t>
  </si>
  <si>
    <t>Some requests reward/require Charms.</t>
  </si>
  <si>
    <t>Calm Draught can improve negotiation; risky brews can backfire.</t>
  </si>
  <si>
    <t>Dictates request type and response to failure.</t>
  </si>
  <si>
    <t>Certain requests (rituals) consume Remains.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</si>
  <si>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</si>
  <si>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</si>
  <si>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</si>
  <si>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</si>
  <si>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</si>
  <si>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</si>
  <si>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</si>
  <si>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</si>
  <si>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</si>
  <si>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HK_TaskAgent</t>
  </si>
  <si>
    <t>HK_RequestGenerator</t>
  </si>
  <si>
    <t>HK_RequestRunner</t>
  </si>
  <si>
    <t>HK_ContentmentAgent</t>
  </si>
  <si>
    <t>HK_FlickerAgent</t>
  </si>
  <si>
    <t>HK_TaskStations</t>
  </si>
  <si>
    <t>HK_Scheduler</t>
  </si>
  <si>
    <t>Per‑ghost job assignment &amp; work loop</t>
  </si>
  <si>
    <t>Spawn personal requests</t>
  </si>
  <si>
    <t>Tracks active mini‑quests</t>
  </si>
  <si>
    <t>Local mood driver</t>
  </si>
  <si>
    <t>Fatigue &amp; rest</t>
  </si>
  <si>
    <t>Stations &amp; queues</t>
  </si>
  <si>
    <t>Daily/time events</t>
  </si>
  <si>
    <t>KD.Tasks.TaskAgent</t>
  </si>
  <si>
    <t>KD.Social.RequestGenerator</t>
  </si>
  <si>
    <t>KD.Social.RequestRunner</t>
  </si>
  <si>
    <t>KD.Mood.ContentmentAgent</t>
  </si>
  <si>
    <t>KD.Mood.FlickerAgent</t>
  </si>
  <si>
    <t>KD.Tasks.Stations.*</t>
  </si>
  <si>
    <t>KD.Core.Scheduler</t>
  </si>
  <si>
    <t>roleId, roleAffinity, efficiencyMult, fatigueRate</t>
  </si>
  <si>
    <t>cooldownMin, weightsByCategory, lastRequestUtc, rngSeed</t>
  </si>
  <si>
    <t>state, targetId, expiresUtc, rewards</t>
  </si>
  <si>
    <t>contentment, decayMult, contagionHooks</t>
  </si>
  <si>
    <t>flicker, restRate, workDrain</t>
  </si>
  <si>
    <t>queue[], level, hp, repairCost</t>
  </si>
  <si>
    <t>daySeed, onHourChanged</t>
  </si>
  <si>
    <t>OnTaskAssigned, OnTaskCompleted, OnTaskBroken</t>
  </si>
  <si>
    <t>OnRequestSpawned(requestId), OnRequestResolved</t>
  </si>
  <si>
    <t>OnRequestAccepted, OnRequestCompleted, OnRequestExpired</t>
  </si>
  <si>
    <t>OnContentmentChanged, OnMoodBelowThreshold</t>
  </si>
  <si>
    <t>OnFlickerLow, OnRested</t>
  </si>
  <si>
    <t>OnJobQueued, OnJobDequeue</t>
  </si>
  <si>
    <t>OnHourChanged, OnDayStart/End</t>
  </si>
  <si>
    <t>Player assignment; scheduler tick</t>
  </si>
  <si>
    <t>Daily RNG; Bond &amp; Temperament bias</t>
  </si>
  <si>
    <t>Player accept/decline; time; triggers</t>
  </si>
  <si>
    <t>Appetite ticks; contagion pulses</t>
  </si>
  <si>
    <t>Work loop; rest zones</t>
  </si>
  <si>
    <t>Player build/upgrade</t>
  </si>
  <si>
    <t>TimeManager</t>
  </si>
  <si>
    <t>Sub: JobQueued; Emit: OnTaskAssigned/Completed</t>
  </si>
  <si>
    <t>Emit: RequestCreated; Sub: OnTaskCompleted/OnMoodBelowThreshold</t>
  </si>
  <si>
    <t>Sub: OnPlayerInteract; Emit: OnRequestCompleted</t>
  </si>
  <si>
    <t>Sub: RitualPulse; Emit: MoodChanged</t>
  </si>
  <si>
    <t>Emit: OnFlickerLow</t>
  </si>
  <si>
    <t>Emit: OnJobQueued/Complete</t>
  </si>
  <si>
    <t>Emit: Daily seeds for RNG</t>
  </si>
  <si>
    <t>PF_TaskStations (Sawmill/Quarry/Workshop)</t>
  </si>
  <si>
    <t>SO_Request_*, UI_RequestCard</t>
  </si>
  <si>
    <t>UI_RequestTracker, VFX_Complete</t>
  </si>
  <si>
    <t>UI_MoodBar</t>
  </si>
  <si>
    <t>PF_RestSpot</t>
  </si>
  <si>
    <t>PF_Sawmill/Quarry/Workshop</t>
  </si>
  <si>
    <t>—</t>
  </si>
  <si>
    <t>Integrates with Flicker; RoleFit from Temperament.</t>
  </si>
  <si>
    <t>Independent RNG per ghost per day (Option B).</t>
  </si>
  <si>
    <t>Lightweight tasks; cinematic hooks optional.</t>
  </si>
  <si>
    <t>Feeds task performance &amp; request tone.</t>
  </si>
  <si>
    <t>Stops work below threshold.</t>
  </si>
  <si>
    <t>Repair integrates with Builder role.</t>
  </si>
  <si>
    <t>Provides seeds; requests use independent RNG per ghost per day.</t>
  </si>
  <si>
    <t>Parameter</t>
  </si>
  <si>
    <t>Default</t>
  </si>
  <si>
    <t>Min</t>
  </si>
  <si>
    <t>Max</t>
  </si>
  <si>
    <t>Notes</t>
  </si>
  <si>
    <t>request_cooldown_days</t>
  </si>
  <si>
    <t>request_daily_chance_base</t>
  </si>
  <si>
    <t>request_bond_bonus</t>
  </si>
  <si>
    <t>request_temperament_weights</t>
  </si>
  <si>
    <t>task_efficiency_base</t>
  </si>
  <si>
    <t>sabotage_risk_low_contentment</t>
  </si>
  <si>
    <t>flicker_rest_threshold</t>
  </si>
  <si>
    <t>role_swap_cooldown_s</t>
  </si>
  <si>
    <t>Mournful:1.1, Trickster:1.2, Spiteful:1.0, Cold:0.9, Fanatic:1.1, Bright:1.1, Gloomy:0.9</t>
  </si>
  <si>
    <t>-</t>
  </si>
  <si>
    <t>Min in‑game days between requests for a single ghost.</t>
  </si>
  <si>
    <t>Base per‑ghost chance to roll a request each day (independent).</t>
  </si>
  <si>
    <t>Additive bonus chance at Bond ≥ 2.</t>
  </si>
  <si>
    <t>Category weights per temperament.</t>
  </si>
  <si>
    <t>Global multiplier before role fit &amp; mood scalars.</t>
  </si>
  <si>
    <t>Per-hour sabotage chance when Contentment &lt; 0.25.</t>
  </si>
  <si>
    <t>Stop work if Flicker below threshold.</t>
  </si>
  <si>
    <t>Cooldown between role swaps on the same ghost.</t>
  </si>
  <si>
    <t>Resource</t>
  </si>
  <si>
    <t>Acquired From</t>
  </si>
  <si>
    <t>Used For</t>
  </si>
  <si>
    <t>Task Stations</t>
  </si>
  <si>
    <t>Request Templates</t>
  </si>
  <si>
    <t>Rest Spots</t>
  </si>
  <si>
    <t>Player‑built posts for jobs (Sawmill, Quarry, Workshop, Alchemy Table).</t>
  </si>
  <si>
    <t>Scriptable data defining request steps &amp; rewards.</t>
  </si>
  <si>
    <t>Places to recover Flicker.</t>
  </si>
  <si>
    <t>Build/upgrade with Timber, Rock, Tokens.</t>
  </si>
  <si>
    <t>Designers author JSON/SO with conditions and outcomes.</t>
  </si>
  <si>
    <t>Placed or auto‑assigned in hub.</t>
  </si>
  <si>
    <t>Enable role assignment &amp; production.</t>
  </si>
  <si>
    <t>Feeds RequestGenerator triggers and rewards.</t>
  </si>
  <si>
    <t>Keep loop humane; ties to Storyteller nights.</t>
  </si>
  <si>
    <t>Metric</t>
  </si>
  <si>
    <t>Formula (English)</t>
  </si>
  <si>
    <t>Var1</t>
  </si>
  <si>
    <t>Var2</t>
  </si>
  <si>
    <t>Var3</t>
  </si>
  <si>
    <t>Var4</t>
  </si>
  <si>
    <t>Var5</t>
  </si>
  <si>
    <t>Computed Example</t>
  </si>
  <si>
    <t>Expected Requests / Day</t>
  </si>
  <si>
    <t>Expected Bond Δ / Day</t>
  </si>
  <si>
    <t>Expected Essence Δ / Day (Tasks)</t>
  </si>
  <si>
    <t>Unrest Risk Index</t>
  </si>
  <si>
    <t>Independent RNG: N_Ghosts * (BaseChance + BondBonus * pct_Bond≥2) * TemperamentFactor</t>
  </si>
  <si>
    <t>RequestsCompleted * BondReward - RequestsIgnored * BondPenalty</t>
  </si>
  <si>
    <t>Σ( RoleOutput * Efficiency * MoodScalar ) - SabotageLoss</t>
  </si>
  <si>
    <t>pct_GhostsBelow25 * sabotage_risk_low_contentment</t>
  </si>
  <si>
    <t>N_Ghosts</t>
  </si>
  <si>
    <t>RequestsCompleted</t>
  </si>
  <si>
    <t>RoleOutput</t>
  </si>
  <si>
    <t>pct_GhostsBelow25</t>
  </si>
  <si>
    <t>BaseChance</t>
  </si>
  <si>
    <t>BondReward</t>
  </si>
  <si>
    <t>Efficiency</t>
  </si>
  <si>
    <t>BondBonus</t>
  </si>
  <si>
    <t>RequestsIgnored</t>
  </si>
  <si>
    <t>MoodScalar</t>
  </si>
  <si>
    <t>pct_Bond≥2</t>
  </si>
  <si>
    <t>BondPenalty</t>
  </si>
  <si>
    <t>SabotageLoss</t>
  </si>
  <si>
    <t>TemperamentFactor</t>
  </si>
  <si>
    <t>Estimation only (Option B).</t>
  </si>
  <si>
    <t>LinkKey</t>
  </si>
  <si>
    <t>Excel_Formula</t>
  </si>
  <si>
    <t>Essence_Token_Value</t>
  </si>
  <si>
    <t>Remains_Token_Value</t>
  </si>
  <si>
    <t>Timber_Token_Value (opt)</t>
  </si>
  <si>
    <t>Rock_Token_Value (opt)</t>
  </si>
  <si>
    <t>0.25  /* add token_value_per_timber in Resources-&gt;Globals to wire live */</t>
  </si>
  <si>
    <t>0.35  /* add token_value_per_rock in Resources-&gt;Globals to wire live */</t>
  </si>
  <si>
    <t>Pulls 1 Essence token value from Resources Globals</t>
  </si>
  <si>
    <t>Pulls 1 Remain token value from Resources Globals</t>
  </si>
  <si>
    <t>Placeholder constant until present in Resources Globals</t>
  </si>
  <si>
    <t>Primary Output Resource</t>
  </si>
  <si>
    <t>Units/Hour (Base)</t>
  </si>
  <si>
    <t>Mood Scalar Ref</t>
  </si>
  <si>
    <t>Temperament Fit</t>
  </si>
  <si>
    <t>Token Value Source</t>
  </si>
  <si>
    <t>Token/Hour (Formula)</t>
  </si>
  <si>
    <t>Stability (no tokens)</t>
  </si>
  <si>
    <t>Ectoplasm</t>
  </si>
  <si>
    <t>Offerings/Ectofruit</t>
  </si>
  <si>
    <t>Repairs (hp)</t>
  </si>
  <si>
    <t>Timber/Rock</t>
  </si>
  <si>
    <t>Ritual Cost Reduction</t>
  </si>
  <si>
    <t>Contentment/Bond</t>
  </si>
  <si>
    <t>Unrest Reduction</t>
  </si>
  <si>
    <t>n/a</t>
  </si>
  <si>
    <t>External_Links!B2 /* Ecto via Essence proxy */</t>
  </si>
  <si>
    <t>n/a (use downstream values)</t>
  </si>
  <si>
    <t>External_Links!B3 /* Timber/Rock placeholders */</t>
  </si>
  <si>
    <t>Computed via Potions</t>
  </si>
  <si>
    <t>RequestID</t>
  </si>
  <si>
    <t>Title</t>
  </si>
  <si>
    <t>Temperament Bias</t>
  </si>
  <si>
    <t>Trigger Conditions</t>
  </si>
  <si>
    <t>Steps (JSON)</t>
  </si>
  <si>
    <t>Success Effects</t>
  </si>
  <si>
    <t>Failure Effects</t>
  </si>
  <si>
    <t>Rewards_Essence</t>
  </si>
  <si>
    <t>Rewards_Grace</t>
  </si>
  <si>
    <t>Rewards_Mementos</t>
  </si>
  <si>
    <t>Rewards_BondΔ</t>
  </si>
  <si>
    <t>Rewards_ContentmentΔ</t>
  </si>
  <si>
    <t>Reward_Items</t>
  </si>
  <si>
    <t>Cooldown_Days</t>
  </si>
  <si>
    <t>Expires_Hours</t>
  </si>
  <si>
    <t>Cinematic_Hook</t>
  </si>
  <si>
    <t>REQ_PLANT_FLOWERS</t>
  </si>
  <si>
    <t>REQ_STOP_TRICKSTER</t>
  </si>
  <si>
    <t>REQ_SHARE_TEA</t>
  </si>
  <si>
    <t>Plant flowers by my grave</t>
  </si>
  <si>
    <t>Have a word with the Trickster</t>
  </si>
  <si>
    <t>Share tea with me</t>
  </si>
  <si>
    <t>Daily roll; Bond&gt;=1; near Garden</t>
  </si>
  <si>
    <t>Daily roll; Trickster nearby</t>
  </si>
  <si>
    <t>Daily roll; evening; Bond&gt;=2</t>
  </si>
  <si>
    <t>[{"action":"plant","target":"linked_grave"}]</t>
  </si>
  <si>
    <t>[{"action":"talk","target":"Trickster"}]</t>
  </si>
  <si>
    <t>[{"action":"give","item":"TEA"}]</t>
  </si>
  <si>
    <t>{"bondDelta":1,"contentmentDelta":2}</t>
  </si>
  <si>
    <t>{"bondDelta":1,"contentmentDelta":1}</t>
  </si>
  <si>
    <t>{"bondDelta":-1}</t>
  </si>
  <si>
    <t>{"unrestRipple":1}</t>
  </si>
  <si>
    <t>SEED_WHISPERBLOOM</t>
  </si>
  <si>
    <t>TEA</t>
  </si>
  <si>
    <t>Links Garden to this ghost</t>
  </si>
  <si>
    <t>May spawn Manifest prank if failed</t>
  </si>
  <si>
    <t>Simple feel-good request</t>
  </si>
  <si>
    <t>Inputs</t>
  </si>
  <si>
    <t>N_Ghosts * (BaseChance + BondBonus * pct_Bond≥2) * TemperamentFactor</t>
  </si>
  <si>
    <t>Σ(RoleOutputHour * Hours * MoodScalar * Fit) tokenized via External_Links values</t>
  </si>
  <si>
    <t>N_Ghosts, BaseChance, BondBonus, pct_Bond≥2, TemperamentFactor</t>
  </si>
  <si>
    <t>RequestsCompleted, RequestsIgnored, BondReward, BondPenalty</t>
  </si>
  <si>
    <t>RoleOutputHour, Hours, MoodScalar, Fit, Essence/Rock/Timber token values</t>
  </si>
  <si>
    <t>pct_GhostsBelow25, sabotage_risk_low_contentment</t>
  </si>
  <si>
    <t>Independent RNG per ghost/day (Option B)</t>
  </si>
  <si>
    <t>Logged per ghost history; used for dialogue branches</t>
  </si>
  <si>
    <t>Use Tasks_Output_Map sheet to compute per-role token/hr</t>
  </si>
  <si>
    <t>Simple risk index for pacing Unrest events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</si>
</sst>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>
        <v>1</v>
      </c>
      <c r="B2" t="s">
        <v>29</v>
      </c>
      <c r="C2" t="s">
        <v>34</v>
      </c>
      <c r="D2" t="s">
        <v>39</v>
      </c>
      <c r="E2" t="s">
        <v>44</v>
      </c>
    </row>
    <row r="3" spans="1:5">
      <c r="A3">
        <v>2</v>
      </c>
      <c r="B3" t="s">
        <v>30</v>
      </c>
      <c r="C3" t="s">
        <v>35</v>
      </c>
      <c r="D3" t="s">
        <v>40</v>
      </c>
      <c r="E3" t="s">
        <v>45</v>
      </c>
    </row>
    <row r="4" spans="1:5">
      <c r="A4">
        <v>3</v>
      </c>
      <c r="B4" t="s">
        <v>31</v>
      </c>
      <c r="C4" t="s">
        <v>36</v>
      </c>
      <c r="D4" t="s">
        <v>41</v>
      </c>
      <c r="E4" t="s">
        <v>46</v>
      </c>
    </row>
    <row r="5" spans="1:5">
      <c r="A5">
        <v>4</v>
      </c>
      <c r="B5" t="s">
        <v>32</v>
      </c>
      <c r="C5" t="s">
        <v>37</v>
      </c>
      <c r="D5" t="s">
        <v>42</v>
      </c>
      <c r="E5" t="s">
        <v>47</v>
      </c>
    </row>
    <row r="6" spans="1:5">
      <c r="A6">
        <v>5</v>
      </c>
      <c r="B6" t="s">
        <v>33</v>
      </c>
      <c r="C6" t="s">
        <v>38</v>
      </c>
      <c r="D6" t="s">
        <v>43</v>
      </c>
      <c r="E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49</v>
      </c>
      <c r="B1" s="1" t="s">
        <v>1</v>
      </c>
      <c r="C1" s="1" t="s">
        <v>50</v>
      </c>
      <c r="D1" s="1" t="s">
        <v>51</v>
      </c>
    </row>
    <row r="2" spans="1:4">
      <c r="A2" t="s">
        <v>52</v>
      </c>
      <c r="B2" t="s">
        <v>61</v>
      </c>
      <c r="C2" t="s">
        <v>70</v>
      </c>
      <c r="D2" t="s">
        <v>79</v>
      </c>
    </row>
    <row r="3" spans="1:4">
      <c r="A3" t="s">
        <v>53</v>
      </c>
      <c r="B3" t="s">
        <v>62</v>
      </c>
      <c r="C3" t="s">
        <v>71</v>
      </c>
      <c r="D3" t="s">
        <v>80</v>
      </c>
    </row>
    <row r="4" spans="1:4">
      <c r="A4" t="s">
        <v>54</v>
      </c>
      <c r="B4" t="s">
        <v>63</v>
      </c>
      <c r="C4" t="s">
        <v>72</v>
      </c>
      <c r="D4" t="s">
        <v>81</v>
      </c>
    </row>
    <row r="5" spans="1:4">
      <c r="A5" t="s">
        <v>55</v>
      </c>
      <c r="B5" t="s">
        <v>64</v>
      </c>
      <c r="C5" t="s">
        <v>73</v>
      </c>
      <c r="D5" t="s">
        <v>82</v>
      </c>
    </row>
    <row r="6" spans="1:4">
      <c r="A6" t="s">
        <v>56</v>
      </c>
      <c r="B6" t="s">
        <v>65</v>
      </c>
      <c r="C6" t="s">
        <v>74</v>
      </c>
      <c r="D6" t="s">
        <v>83</v>
      </c>
    </row>
    <row r="7" spans="1:4">
      <c r="A7" t="s">
        <v>57</v>
      </c>
      <c r="B7" t="s">
        <v>66</v>
      </c>
      <c r="C7" t="s">
        <v>75</v>
      </c>
      <c r="D7" t="s">
        <v>84</v>
      </c>
    </row>
    <row r="8" spans="1:4">
      <c r="A8" t="s">
        <v>58</v>
      </c>
      <c r="B8" t="s">
        <v>67</v>
      </c>
      <c r="C8" t="s">
        <v>76</v>
      </c>
      <c r="D8" t="s">
        <v>85</v>
      </c>
    </row>
    <row r="9" spans="1:4">
      <c r="A9" t="s">
        <v>59</v>
      </c>
      <c r="B9" t="s">
        <v>68</v>
      </c>
      <c r="C9" t="s">
        <v>77</v>
      </c>
      <c r="D9" t="s">
        <v>86</v>
      </c>
    </row>
    <row r="10" spans="1:4">
      <c r="A10" t="s">
        <v>60</v>
      </c>
      <c r="B10" t="s">
        <v>69</v>
      </c>
      <c r="C10" t="s">
        <v>78</v>
      </c>
      <c r="D1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88</v>
      </c>
      <c r="B1" s="1" t="s">
        <v>89</v>
      </c>
      <c r="C1" s="1" t="s">
        <v>90</v>
      </c>
      <c r="D1" s="1" t="s">
        <v>91</v>
      </c>
    </row>
    <row r="2" spans="1:4">
      <c r="A2" t="s">
        <v>92</v>
      </c>
      <c r="B2" t="s">
        <v>97</v>
      </c>
      <c r="C2" t="s">
        <v>102</v>
      </c>
      <c r="D2" t="s">
        <v>107</v>
      </c>
    </row>
    <row r="3" spans="1:4">
      <c r="A3" t="s">
        <v>93</v>
      </c>
      <c r="B3" t="s">
        <v>98</v>
      </c>
      <c r="C3" t="s">
        <v>103</v>
      </c>
      <c r="D3" t="s">
        <v>108</v>
      </c>
    </row>
    <row r="4" spans="1:4">
      <c r="A4" t="s">
        <v>94</v>
      </c>
      <c r="B4" t="s">
        <v>99</v>
      </c>
      <c r="C4" t="s">
        <v>104</v>
      </c>
      <c r="D4" t="s">
        <v>109</v>
      </c>
    </row>
    <row r="5" spans="1:4">
      <c r="A5" t="s">
        <v>95</v>
      </c>
      <c r="B5" t="s">
        <v>100</v>
      </c>
      <c r="C5" t="s">
        <v>105</v>
      </c>
      <c r="D5" t="s">
        <v>110</v>
      </c>
    </row>
    <row r="6" spans="1:4">
      <c r="A6" t="s">
        <v>96</v>
      </c>
      <c r="B6" t="s">
        <v>101</v>
      </c>
      <c r="C6" t="s">
        <v>106</v>
      </c>
      <c r="D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112</v>
      </c>
      <c r="B1" s="1" t="s">
        <v>1</v>
      </c>
    </row>
    <row r="2" spans="1:2">
      <c r="A2" t="s">
        <v>113</v>
      </c>
      <c r="B2" t="s">
        <v>118</v>
      </c>
    </row>
    <row r="3" spans="1:2">
      <c r="A3" t="s">
        <v>114</v>
      </c>
      <c r="B3" t="s">
        <v>119</v>
      </c>
    </row>
    <row r="4" spans="1:2">
      <c r="A4" t="s">
        <v>115</v>
      </c>
      <c r="B4" t="s">
        <v>120</v>
      </c>
    </row>
    <row r="5" spans="1:2">
      <c r="A5" t="s">
        <v>116</v>
      </c>
      <c r="B5" t="s">
        <v>121</v>
      </c>
    </row>
    <row r="6" spans="1:2">
      <c r="A6" t="s">
        <v>117</v>
      </c>
      <c r="B6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123</v>
      </c>
      <c r="B1" s="1" t="s">
        <v>124</v>
      </c>
      <c r="C1" s="1" t="s">
        <v>125</v>
      </c>
    </row>
    <row r="2" spans="1:3">
      <c r="A2" t="s">
        <v>126</v>
      </c>
      <c r="B2" t="s">
        <v>133</v>
      </c>
      <c r="C2" t="s">
        <v>140</v>
      </c>
    </row>
    <row r="3" spans="1:3">
      <c r="A3" t="s">
        <v>127</v>
      </c>
      <c r="B3" t="s">
        <v>134</v>
      </c>
      <c r="C3" t="s">
        <v>141</v>
      </c>
    </row>
    <row r="4" spans="1:3">
      <c r="A4" t="s">
        <v>128</v>
      </c>
      <c r="B4" t="s">
        <v>135</v>
      </c>
      <c r="C4" t="s">
        <v>142</v>
      </c>
    </row>
    <row r="5" spans="1:3">
      <c r="A5" t="s">
        <v>129</v>
      </c>
      <c r="B5" t="s">
        <v>136</v>
      </c>
      <c r="C5" t="s">
        <v>143</v>
      </c>
    </row>
    <row r="6" spans="1:3">
      <c r="A6" t="s">
        <v>130</v>
      </c>
      <c r="B6" t="s">
        <v>137</v>
      </c>
      <c r="C6" t="s">
        <v>144</v>
      </c>
    </row>
    <row r="7" spans="1:3">
      <c r="A7" t="s">
        <v>131</v>
      </c>
      <c r="B7" t="s">
        <v>138</v>
      </c>
      <c r="C7" t="s">
        <v>145</v>
      </c>
    </row>
    <row r="8" spans="1:3">
      <c r="A8" t="s">
        <v>132</v>
      </c>
      <c r="B8" t="s">
        <v>139</v>
      </c>
      <c r="C8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96</v>
      </c>
      <c r="B1" s="1" t="s">
        <v>147</v>
      </c>
      <c r="C1" s="1" t="s">
        <v>148</v>
      </c>
    </row>
    <row r="2" spans="1:3">
      <c r="A2" t="s">
        <v>149</v>
      </c>
      <c r="B2" t="s">
        <v>155</v>
      </c>
      <c r="C2" t="s">
        <v>161</v>
      </c>
    </row>
    <row r="3" spans="1:3">
      <c r="A3" t="s">
        <v>150</v>
      </c>
      <c r="B3" t="s">
        <v>156</v>
      </c>
      <c r="C3" t="s">
        <v>162</v>
      </c>
    </row>
    <row r="4" spans="1:3">
      <c r="A4" t="s">
        <v>151</v>
      </c>
      <c r="B4" t="s">
        <v>157</v>
      </c>
      <c r="C4" t="s">
        <v>163</v>
      </c>
    </row>
    <row r="5" spans="1:3">
      <c r="A5" t="s">
        <v>152</v>
      </c>
      <c r="B5" t="s">
        <v>158</v>
      </c>
      <c r="C5" t="s">
        <v>164</v>
      </c>
    </row>
    <row r="6" spans="1:3">
      <c r="A6" t="s">
        <v>153</v>
      </c>
      <c r="B6" t="s">
        <v>159</v>
      </c>
      <c r="C6" t="s">
        <v>165</v>
      </c>
    </row>
    <row r="7" spans="1:3">
      <c r="A7" t="s">
        <v>154</v>
      </c>
      <c r="B7" t="s">
        <v>160</v>
      </c>
      <c r="C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167</v>
      </c>
      <c r="B1" s="1" t="s">
        <v>168</v>
      </c>
    </row>
    <row r="2" spans="1:2">
      <c r="A2" t="s">
        <v>169</v>
      </c>
      <c r="B2" t="s">
        <v>170</v>
      </c>
    </row>
    <row r="3" spans="1:2">
      <c r="A3" t="s">
        <v>149</v>
      </c>
      <c r="B3" t="s">
        <v>171</v>
      </c>
    </row>
    <row r="4" spans="1:2">
      <c r="A4" t="s">
        <v>55</v>
      </c>
      <c r="B4" t="s">
        <v>172</v>
      </c>
    </row>
    <row r="5" spans="1:2">
      <c r="A5" t="s">
        <v>59</v>
      </c>
      <c r="B5" t="s">
        <v>173</v>
      </c>
    </row>
    <row r="6" spans="1:2">
      <c r="A6" t="s">
        <v>150</v>
      </c>
      <c r="B6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175</v>
      </c>
      <c r="B1" s="1" t="s">
        <v>176</v>
      </c>
    </row>
    <row r="2" spans="1:2">
      <c r="A2" t="s">
        <v>92</v>
      </c>
      <c r="B2" t="s">
        <v>181</v>
      </c>
    </row>
    <row r="3" spans="1:2">
      <c r="A3" t="s">
        <v>95</v>
      </c>
      <c r="B3" t="s">
        <v>182</v>
      </c>
    </row>
    <row r="4" spans="1:2">
      <c r="A4" t="s">
        <v>177</v>
      </c>
      <c r="B4" t="s">
        <v>183</v>
      </c>
    </row>
    <row r="5" spans="1:2">
      <c r="A5" t="s">
        <v>178</v>
      </c>
      <c r="B5" t="s">
        <v>184</v>
      </c>
    </row>
    <row r="6" spans="1:2">
      <c r="A6" t="s">
        <v>179</v>
      </c>
      <c r="B6" t="s">
        <v>185</v>
      </c>
    </row>
    <row r="7" spans="1:2">
      <c r="A7" t="s">
        <v>96</v>
      </c>
      <c r="B7" t="s">
        <v>186</v>
      </c>
    </row>
    <row r="8" spans="1:2">
      <c r="A8" t="s">
        <v>180</v>
      </c>
      <c r="B8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 spans="1:9">
      <c r="A2" t="s">
        <v>197</v>
      </c>
      <c r="B2" t="s">
        <v>204</v>
      </c>
      <c r="C2" t="s">
        <v>211</v>
      </c>
      <c r="D2" t="s">
        <v>218</v>
      </c>
      <c r="E2" t="s">
        <v>225</v>
      </c>
      <c r="F2" t="s">
        <v>232</v>
      </c>
      <c r="G2" t="s">
        <v>239</v>
      </c>
      <c r="H2" t="s">
        <v>246</v>
      </c>
      <c r="I2" t="s">
        <v>253</v>
      </c>
    </row>
    <row r="3" spans="1:9">
      <c r="A3" t="s">
        <v>198</v>
      </c>
      <c r="B3" t="s">
        <v>205</v>
      </c>
      <c r="C3" t="s">
        <v>212</v>
      </c>
      <c r="D3" t="s">
        <v>219</v>
      </c>
      <c r="E3" t="s">
        <v>226</v>
      </c>
      <c r="F3" t="s">
        <v>233</v>
      </c>
      <c r="G3" t="s">
        <v>240</v>
      </c>
      <c r="H3" t="s">
        <v>247</v>
      </c>
      <c r="I3" t="s">
        <v>254</v>
      </c>
    </row>
    <row r="4" spans="1:9">
      <c r="A4" t="s">
        <v>199</v>
      </c>
      <c r="B4" t="s">
        <v>206</v>
      </c>
      <c r="C4" t="s">
        <v>213</v>
      </c>
      <c r="D4" t="s">
        <v>220</v>
      </c>
      <c r="E4" t="s">
        <v>227</v>
      </c>
      <c r="F4" t="s">
        <v>234</v>
      </c>
      <c r="G4" t="s">
        <v>241</v>
      </c>
      <c r="H4" t="s">
        <v>248</v>
      </c>
      <c r="I4" t="s">
        <v>255</v>
      </c>
    </row>
    <row r="5" spans="1:9">
      <c r="A5" t="s">
        <v>200</v>
      </c>
      <c r="B5" t="s">
        <v>207</v>
      </c>
      <c r="C5" t="s">
        <v>214</v>
      </c>
      <c r="D5" t="s">
        <v>221</v>
      </c>
      <c r="E5" t="s">
        <v>228</v>
      </c>
      <c r="F5" t="s">
        <v>235</v>
      </c>
      <c r="G5" t="s">
        <v>242</v>
      </c>
      <c r="H5" t="s">
        <v>249</v>
      </c>
      <c r="I5" t="s">
        <v>256</v>
      </c>
    </row>
    <row r="6" spans="1:9">
      <c r="A6" t="s">
        <v>201</v>
      </c>
      <c r="B6" t="s">
        <v>208</v>
      </c>
      <c r="C6" t="s">
        <v>215</v>
      </c>
      <c r="D6" t="s">
        <v>222</v>
      </c>
      <c r="E6" t="s">
        <v>229</v>
      </c>
      <c r="F6" t="s">
        <v>236</v>
      </c>
      <c r="G6" t="s">
        <v>243</v>
      </c>
      <c r="H6" t="s">
        <v>250</v>
      </c>
      <c r="I6" t="s">
        <v>257</v>
      </c>
    </row>
    <row r="7" spans="1:9">
      <c r="A7" t="s">
        <v>202</v>
      </c>
      <c r="B7" t="s">
        <v>209</v>
      </c>
      <c r="C7" t="s">
        <v>216</v>
      </c>
      <c r="D7" t="s">
        <v>223</v>
      </c>
      <c r="E7" t="s">
        <v>230</v>
      </c>
      <c r="F7" t="s">
        <v>237</v>
      </c>
      <c r="G7" t="s">
        <v>244</v>
      </c>
      <c r="H7" t="s">
        <v>251</v>
      </c>
      <c r="I7" t="s">
        <v>258</v>
      </c>
    </row>
    <row r="8" spans="1:9">
      <c r="A8" t="s">
        <v>203</v>
      </c>
      <c r="B8" t="s">
        <v>210</v>
      </c>
      <c r="C8" t="s">
        <v>217</v>
      </c>
      <c r="D8" t="s">
        <v>224</v>
      </c>
      <c r="E8" t="s">
        <v>231</v>
      </c>
      <c r="F8" t="s">
        <v>238</v>
      </c>
      <c r="G8" t="s">
        <v>245</v>
      </c>
      <c r="H8" t="s">
        <v>252</v>
      </c>
      <c r="I8" t="s">
        <v>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</row>
    <row r="2" spans="1:5">
      <c r="A2" t="s">
        <v>265</v>
      </c>
      <c r="B2">
        <v>1</v>
      </c>
      <c r="C2">
        <v>0.5</v>
      </c>
      <c r="D2">
        <v>3</v>
      </c>
      <c r="E2" t="s">
        <v>275</v>
      </c>
    </row>
    <row r="3" spans="1:5">
      <c r="A3" t="s">
        <v>266</v>
      </c>
      <c r="B3">
        <v>0.25</v>
      </c>
      <c r="C3">
        <v>0.05</v>
      </c>
      <c r="D3">
        <v>0.45</v>
      </c>
      <c r="E3" t="s">
        <v>276</v>
      </c>
    </row>
    <row r="4" spans="1:5">
      <c r="A4" t="s">
        <v>267</v>
      </c>
      <c r="B4">
        <v>0.1</v>
      </c>
      <c r="C4">
        <v>0</v>
      </c>
      <c r="D4">
        <v>0.3</v>
      </c>
      <c r="E4" t="s">
        <v>277</v>
      </c>
    </row>
    <row r="5" spans="1:5">
      <c r="A5" t="s">
        <v>268</v>
      </c>
      <c r="B5" t="s">
        <v>273</v>
      </c>
      <c r="C5" t="s">
        <v>274</v>
      </c>
      <c r="D5" t="s">
        <v>274</v>
      </c>
      <c r="E5" t="s">
        <v>278</v>
      </c>
    </row>
    <row r="6" spans="1:5">
      <c r="A6" t="s">
        <v>269</v>
      </c>
      <c r="B6">
        <v>1</v>
      </c>
      <c r="C6">
        <v>0.6</v>
      </c>
      <c r="D6">
        <v>1.5</v>
      </c>
      <c r="E6" t="s">
        <v>279</v>
      </c>
    </row>
    <row r="7" spans="1:5">
      <c r="A7" t="s">
        <v>270</v>
      </c>
      <c r="B7">
        <v>0.05</v>
      </c>
      <c r="C7">
        <v>0</v>
      </c>
      <c r="D7">
        <v>0.15</v>
      </c>
      <c r="E7" t="s">
        <v>280</v>
      </c>
    </row>
    <row r="8" spans="1:5">
      <c r="A8" t="s">
        <v>271</v>
      </c>
      <c r="B8">
        <v>0.2</v>
      </c>
      <c r="C8">
        <v>0.1</v>
      </c>
      <c r="D8">
        <v>0.4</v>
      </c>
      <c r="E8" t="s">
        <v>281</v>
      </c>
    </row>
    <row r="9" spans="1:5">
      <c r="A9" t="s">
        <v>272</v>
      </c>
      <c r="B9">
        <v>30</v>
      </c>
      <c r="C9">
        <v>0</v>
      </c>
      <c r="D9">
        <v>120</v>
      </c>
      <c r="E9" t="s">
        <v>282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283</v>
      </c>
      <c r="B1" s="1" t="s">
        <v>1</v>
      </c>
      <c r="C1" s="1" t="s">
        <v>284</v>
      </c>
      <c r="D1" s="1" t="s">
        <v>285</v>
      </c>
    </row>
    <row r="2" spans="1:4">
      <c r="A2" t="s">
        <v>286</v>
      </c>
      <c r="B2" t="s">
        <v>289</v>
      </c>
      <c r="C2" t="s">
        <v>292</v>
      </c>
      <c r="D2" t="s">
        <v>295</v>
      </c>
    </row>
    <row r="3" spans="1:4">
      <c r="A3" t="s">
        <v>287</v>
      </c>
      <c r="B3" t="s">
        <v>290</v>
      </c>
      <c r="C3" t="s">
        <v>293</v>
      </c>
      <c r="D3" t="s">
        <v>296</v>
      </c>
    </row>
    <row r="4" spans="1:4">
      <c r="A4" t="s">
        <v>288</v>
      </c>
      <c r="B4" t="s">
        <v>291</v>
      </c>
      <c r="C4" t="s">
        <v>294</v>
      </c>
      <c r="D4" t="s">
        <v>297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264</v>
      </c>
    </row>
    <row r="2" spans="1:9">
      <c r="A2" t="s">
        <v>306</v>
      </c>
      <c r="B2" t="s">
        <v>310</v>
      </c>
      <c r="C2" t="s">
        <v>314</v>
      </c>
      <c r="D2" t="s">
        <v>318</v>
      </c>
      <c r="E2" t="s">
        <v>321</v>
      </c>
      <c r="F2" t="s">
        <v>324</v>
      </c>
      <c r="G2" t="s">
        <v>327</v>
      </c>
      <c r="I2" t="s">
        <v>328</v>
      </c>
    </row>
    <row r="3" spans="1:9">
      <c r="A3" t="s">
        <v>307</v>
      </c>
      <c r="B3" t="s">
        <v>311</v>
      </c>
      <c r="C3" t="s">
        <v>315</v>
      </c>
      <c r="D3" t="s">
        <v>319</v>
      </c>
      <c r="E3" t="s">
        <v>322</v>
      </c>
      <c r="F3" t="s">
        <v>325</v>
      </c>
    </row>
    <row r="4" spans="1:9">
      <c r="A4" t="s">
        <v>308</v>
      </c>
      <c r="B4" t="s">
        <v>312</v>
      </c>
      <c r="C4" t="s">
        <v>316</v>
      </c>
      <c r="D4" t="s">
        <v>320</v>
      </c>
      <c r="E4" t="s">
        <v>323</v>
      </c>
      <c r="F4" t="s">
        <v>326</v>
      </c>
    </row>
    <row r="5" spans="1:9">
      <c r="A5" t="s">
        <v>309</v>
      </c>
      <c r="B5" t="s">
        <v>313</v>
      </c>
      <c r="C5" t="s">
        <v>317</v>
      </c>
      <c r="D5" t="s">
        <v>270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00.7109375" customWidth="1"/>
    <col min="3" max="3" width="57.7109375" customWidth="1"/>
  </cols>
  <sheetData>
    <row r="1" spans="1:3">
      <c r="A1" s="2" t="s">
        <v>329</v>
      </c>
      <c r="B1" s="2" t="s">
        <v>330</v>
      </c>
      <c r="C1" s="2" t="s">
        <v>264</v>
      </c>
    </row>
    <row r="2" spans="1:3">
      <c r="A2" t="s">
        <v>331</v>
      </c>
      <c r="B2" cm="1">
        <f t="array" ref="B2">_xlfn.XLOOKUP("token_value_per_essence",'[Resources_List_With_Folder_Structure_SeedsOutputs_Metrics.xlsx]Globals'!$B:$B,'[Resources_List_With_Folder_Structure_SeedsOutputs_Metrics.xlsx]Globals'!$C:$C,0)</f>
        <v>0</v>
      </c>
      <c r="C2" t="s">
        <v>337</v>
      </c>
    </row>
    <row r="3" spans="1:3">
      <c r="A3" t="s">
        <v>332</v>
      </c>
      <c r="B3" cm="1">
        <f t="array" ref="B3">_xlfn.XLOOKUP("token_value_per_remain",'[Resources_List_With_Folder_Structure_SeedsOutputs_Metrics.xlsx]Globals'!$B:$B,'[Resources_List_With_Folder_Structure_SeedsOutputs_Metrics.xlsx]Globals'!$C:$C,0)</f>
        <v>0</v>
      </c>
      <c r="C3" t="s">
        <v>338</v>
      </c>
    </row>
    <row r="4" spans="1:3">
      <c r="A4" t="s">
        <v>333</v>
      </c>
      <c r="B4" t="s">
        <v>335</v>
      </c>
      <c r="C4" t="s">
        <v>339</v>
      </c>
    </row>
    <row r="5" spans="1:3">
      <c r="A5" t="s">
        <v>334</v>
      </c>
      <c r="B5" t="s">
        <v>336</v>
      </c>
      <c r="C5" t="s">
        <v>339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9.7109375" customWidth="1"/>
    <col min="4" max="4" width="20.7109375" customWidth="1"/>
    <col min="5" max="5" width="18.7109375" customWidth="1"/>
    <col min="6" max="7" width="50.7109375" customWidth="1"/>
  </cols>
  <sheetData>
    <row r="1" spans="1:7">
      <c r="A1" s="2" t="s">
        <v>49</v>
      </c>
      <c r="B1" s="2" t="s">
        <v>340</v>
      </c>
      <c r="C1" s="2" t="s">
        <v>341</v>
      </c>
      <c r="D1" s="2" t="s">
        <v>342</v>
      </c>
      <c r="E1" s="2" t="s">
        <v>343</v>
      </c>
      <c r="F1" s="2" t="s">
        <v>344</v>
      </c>
      <c r="G1" s="2" t="s">
        <v>345</v>
      </c>
    </row>
    <row r="2" spans="1:7">
      <c r="A2" t="s">
        <v>52</v>
      </c>
      <c r="B2" t="s">
        <v>346</v>
      </c>
      <c r="C2">
        <v>0</v>
      </c>
      <c r="D2" t="s">
        <v>102</v>
      </c>
      <c r="E2">
        <v>1.1</v>
      </c>
      <c r="F2" t="s">
        <v>354</v>
      </c>
      <c r="G2">
        <f>0</f>
        <v>0</v>
      </c>
    </row>
    <row r="3" spans="1:7">
      <c r="A3" t="s">
        <v>53</v>
      </c>
      <c r="B3" t="s">
        <v>347</v>
      </c>
      <c r="C3">
        <v>2</v>
      </c>
      <c r="D3" t="s">
        <v>102</v>
      </c>
      <c r="E3">
        <v>1</v>
      </c>
      <c r="F3" t="s">
        <v>355</v>
      </c>
      <c r="G3">
        <f>B2*External_Links!B2*D2*E2</f>
        <v>0</v>
      </c>
    </row>
    <row r="4" spans="1:7">
      <c r="A4" t="s">
        <v>54</v>
      </c>
      <c r="B4" t="s">
        <v>348</v>
      </c>
      <c r="C4">
        <v>1.5</v>
      </c>
      <c r="D4" t="s">
        <v>102</v>
      </c>
      <c r="E4">
        <v>1.15</v>
      </c>
      <c r="F4" t="s">
        <v>356</v>
      </c>
      <c r="G4">
        <f>0</f>
        <v>0</v>
      </c>
    </row>
    <row r="5" spans="1:7">
      <c r="A5" t="s">
        <v>55</v>
      </c>
      <c r="B5" t="s">
        <v>349</v>
      </c>
      <c r="C5">
        <v>1</v>
      </c>
      <c r="D5" t="s">
        <v>102</v>
      </c>
      <c r="E5">
        <v>1.2</v>
      </c>
      <c r="F5" t="s">
        <v>354</v>
      </c>
      <c r="G5">
        <f>0</f>
        <v>0</v>
      </c>
    </row>
    <row r="6" spans="1:7">
      <c r="A6" t="s">
        <v>56</v>
      </c>
      <c r="B6" t="s">
        <v>350</v>
      </c>
      <c r="C6">
        <v>2</v>
      </c>
      <c r="D6" t="s">
        <v>102</v>
      </c>
      <c r="E6">
        <v>1.1</v>
      </c>
      <c r="F6" t="s">
        <v>357</v>
      </c>
      <c r="G6">
        <f>(2*External_Links!B3+2*External_Links!B4)*D5*E5</f>
        <v>0</v>
      </c>
    </row>
    <row r="7" spans="1:7">
      <c r="A7" t="s">
        <v>57</v>
      </c>
      <c r="B7" t="s">
        <v>179</v>
      </c>
      <c r="C7">
        <v>0.5</v>
      </c>
      <c r="D7" t="s">
        <v>102</v>
      </c>
      <c r="E7">
        <v>1.15</v>
      </c>
      <c r="F7" t="s">
        <v>358</v>
      </c>
      <c r="G7">
        <f>0 /* see Potions metrics */</f>
        <v>0</v>
      </c>
    </row>
    <row r="8" spans="1:7">
      <c r="A8" t="s">
        <v>58</v>
      </c>
      <c r="B8" t="s">
        <v>351</v>
      </c>
      <c r="C8">
        <v>0.1</v>
      </c>
      <c r="D8" t="s">
        <v>102</v>
      </c>
      <c r="E8">
        <v>1.2</v>
      </c>
      <c r="F8" t="s">
        <v>354</v>
      </c>
      <c r="G8">
        <f>0</f>
        <v>0</v>
      </c>
    </row>
    <row r="9" spans="1:7">
      <c r="A9" t="s">
        <v>59</v>
      </c>
      <c r="B9" t="s">
        <v>352</v>
      </c>
      <c r="C9">
        <v>2</v>
      </c>
      <c r="D9" t="s">
        <v>102</v>
      </c>
      <c r="E9">
        <v>1.2</v>
      </c>
      <c r="F9" t="s">
        <v>354</v>
      </c>
      <c r="G9">
        <f>0</f>
        <v>0</v>
      </c>
    </row>
    <row r="10" spans="1:7">
      <c r="A10" t="s">
        <v>60</v>
      </c>
      <c r="B10" t="s">
        <v>353</v>
      </c>
      <c r="C10">
        <v>0.1</v>
      </c>
      <c r="D10" t="s">
        <v>102</v>
      </c>
      <c r="E10">
        <v>1.1</v>
      </c>
      <c r="F10" t="s">
        <v>354</v>
      </c>
      <c r="G10">
        <f>0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32.7109375" customWidth="1"/>
    <col min="3" max="4" width="18.7109375" customWidth="1"/>
    <col min="5" max="5" width="34.7109375" customWidth="1"/>
    <col min="6" max="6" width="46.7109375" customWidth="1"/>
    <col min="7" max="7" width="38.7109375" customWidth="1"/>
    <col min="8" max="8" width="20.7109375" customWidth="1"/>
    <col min="9" max="12" width="18.7109375" customWidth="1"/>
    <col min="13" max="13" width="22.7109375" customWidth="1"/>
    <col min="14" max="14" width="19.7109375" customWidth="1"/>
    <col min="15" max="17" width="18.7109375" customWidth="1"/>
    <col min="18" max="18" width="36.7109375" customWidth="1"/>
  </cols>
  <sheetData>
    <row r="1" spans="1:18">
      <c r="A1" s="2" t="s">
        <v>359</v>
      </c>
      <c r="B1" s="2" t="s">
        <v>360</v>
      </c>
      <c r="C1" s="2" t="s">
        <v>123</v>
      </c>
      <c r="D1" s="2" t="s">
        <v>361</v>
      </c>
      <c r="E1" s="2" t="s">
        <v>362</v>
      </c>
      <c r="F1" s="2" t="s">
        <v>363</v>
      </c>
      <c r="G1" s="2" t="s">
        <v>364</v>
      </c>
      <c r="H1" s="2" t="s">
        <v>365</v>
      </c>
      <c r="I1" s="2" t="s">
        <v>366</v>
      </c>
      <c r="J1" s="2" t="s">
        <v>367</v>
      </c>
      <c r="K1" s="2" t="s">
        <v>368</v>
      </c>
      <c r="L1" s="2" t="s">
        <v>369</v>
      </c>
      <c r="M1" s="2" t="s">
        <v>370</v>
      </c>
      <c r="N1" s="2" t="s">
        <v>371</v>
      </c>
      <c r="O1" s="2" t="s">
        <v>372</v>
      </c>
      <c r="P1" s="2" t="s">
        <v>373</v>
      </c>
      <c r="Q1" s="2" t="s">
        <v>374</v>
      </c>
      <c r="R1" s="2" t="s">
        <v>264</v>
      </c>
    </row>
    <row r="2" spans="1:18">
      <c r="A2" t="s">
        <v>375</v>
      </c>
      <c r="B2" t="s">
        <v>378</v>
      </c>
      <c r="C2" t="s">
        <v>126</v>
      </c>
      <c r="D2" t="s">
        <v>149</v>
      </c>
      <c r="E2" t="s">
        <v>381</v>
      </c>
      <c r="F2" t="s">
        <v>384</v>
      </c>
      <c r="G2" t="s">
        <v>387</v>
      </c>
      <c r="H2" t="s">
        <v>389</v>
      </c>
      <c r="I2">
        <v>0</v>
      </c>
      <c r="J2">
        <v>0</v>
      </c>
      <c r="K2">
        <v>0</v>
      </c>
      <c r="L2">
        <v>1</v>
      </c>
      <c r="M2">
        <v>2</v>
      </c>
      <c r="N2" t="s">
        <v>391</v>
      </c>
      <c r="O2">
        <v>1</v>
      </c>
      <c r="P2">
        <v>48</v>
      </c>
      <c r="Q2" t="b">
        <v>1</v>
      </c>
      <c r="R2" t="s">
        <v>393</v>
      </c>
    </row>
    <row r="3" spans="1:18">
      <c r="A3" t="s">
        <v>376</v>
      </c>
      <c r="B3" t="s">
        <v>379</v>
      </c>
      <c r="C3" t="s">
        <v>127</v>
      </c>
      <c r="D3" t="s">
        <v>151</v>
      </c>
      <c r="E3" t="s">
        <v>382</v>
      </c>
      <c r="F3" t="s">
        <v>385</v>
      </c>
      <c r="G3" t="s">
        <v>388</v>
      </c>
      <c r="H3" t="s">
        <v>390</v>
      </c>
      <c r="I3">
        <v>0</v>
      </c>
      <c r="J3">
        <v>0</v>
      </c>
      <c r="K3">
        <v>0</v>
      </c>
      <c r="L3">
        <v>1</v>
      </c>
      <c r="M3">
        <v>1</v>
      </c>
      <c r="O3">
        <v>1</v>
      </c>
      <c r="P3">
        <v>24</v>
      </c>
      <c r="Q3" t="b">
        <v>0</v>
      </c>
      <c r="R3" t="s">
        <v>394</v>
      </c>
    </row>
    <row r="4" spans="1:18">
      <c r="A4" t="s">
        <v>377</v>
      </c>
      <c r="B4" t="s">
        <v>380</v>
      </c>
      <c r="C4" t="s">
        <v>126</v>
      </c>
      <c r="D4" t="s">
        <v>154</v>
      </c>
      <c r="E4" t="s">
        <v>383</v>
      </c>
      <c r="F4" t="s">
        <v>386</v>
      </c>
      <c r="G4" t="s">
        <v>388</v>
      </c>
      <c r="H4" t="s">
        <v>389</v>
      </c>
      <c r="I4">
        <v>0</v>
      </c>
      <c r="J4">
        <v>0</v>
      </c>
      <c r="K4">
        <v>0</v>
      </c>
      <c r="L4">
        <v>1</v>
      </c>
      <c r="M4">
        <v>1</v>
      </c>
      <c r="N4" t="s">
        <v>392</v>
      </c>
      <c r="O4">
        <v>0.5</v>
      </c>
      <c r="P4">
        <v>24</v>
      </c>
      <c r="Q4" t="b">
        <v>0</v>
      </c>
      <c r="R4" t="s">
        <v>395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82.7109375" customWidth="1"/>
    <col min="3" max="3" width="74.7109375" customWidth="1"/>
    <col min="4" max="4" width="57.7109375" customWidth="1"/>
  </cols>
  <sheetData>
    <row r="1" spans="1:4">
      <c r="A1" s="2" t="s">
        <v>298</v>
      </c>
      <c r="B1" s="2" t="s">
        <v>299</v>
      </c>
      <c r="C1" s="2" t="s">
        <v>396</v>
      </c>
      <c r="D1" s="2" t="s">
        <v>264</v>
      </c>
    </row>
    <row r="2" spans="1:4">
      <c r="A2" t="s">
        <v>306</v>
      </c>
      <c r="B2" t="s">
        <v>397</v>
      </c>
      <c r="C2" t="s">
        <v>399</v>
      </c>
      <c r="D2" t="s">
        <v>403</v>
      </c>
    </row>
    <row r="3" spans="1:4">
      <c r="A3" t="s">
        <v>307</v>
      </c>
      <c r="B3" t="s">
        <v>311</v>
      </c>
      <c r="C3" t="s">
        <v>400</v>
      </c>
      <c r="D3" t="s">
        <v>404</v>
      </c>
    </row>
    <row r="4" spans="1:4">
      <c r="A4" t="s">
        <v>308</v>
      </c>
      <c r="B4" t="s">
        <v>398</v>
      </c>
      <c r="C4" t="s">
        <v>401</v>
      </c>
      <c r="D4" t="s">
        <v>405</v>
      </c>
    </row>
    <row r="5" spans="1:4">
      <c r="A5" t="s">
        <v>309</v>
      </c>
      <c r="B5" t="s">
        <v>313</v>
      </c>
      <c r="C5" t="s">
        <v>402</v>
      </c>
      <c r="D5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Core_Loop</vt:lpstr>
      <vt:lpstr>Task_Roles</vt:lpstr>
      <vt:lpstr>Job_Performance_Factors</vt:lpstr>
      <vt:lpstr>Requests_System</vt:lpstr>
      <vt:lpstr>Request_Categories</vt:lpstr>
      <vt:lpstr>Temperament_Variance</vt:lpstr>
      <vt:lpstr>Flavor_Lines</vt:lpstr>
      <vt:lpstr>Interactions</vt:lpstr>
      <vt:lpstr>Hooks</vt:lpstr>
      <vt:lpstr>Tuning_Defaults</vt:lpstr>
      <vt:lpstr>Resource_Summary</vt:lpstr>
      <vt:lpstr>Computed_Metrics</vt:lpstr>
      <vt:lpstr>External_Links</vt:lpstr>
      <vt:lpstr>Tasks_Output_Map</vt:lpstr>
      <vt:lpstr>Request_Templates</vt:lpstr>
      <vt:lpstr>Computed_Metrics_Wired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2025-10-31T21:19:46Z</dcterms:created>
  <dcterms:modified xsi:type="dcterms:W3CDTF">2025-10-31T21:19:46Z</dcterms:modified>
</cp:coreProperties>
</file>