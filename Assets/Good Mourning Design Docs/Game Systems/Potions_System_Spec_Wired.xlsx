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ndonthompson/Downloads/"/>
    </mc:Choice>
  </mc:AlternateContent>
  <xr:revisionPtr revIDLastSave="0" documentId="13_ncr:1_{5975A064-EA09-2948-9450-6DE76A28DE0F}" xr6:coauthVersionLast="47" xr6:coauthVersionMax="47" xr10:uidLastSave="{00000000-0000-0000-0000-000000000000}"/>
  <bookViews>
    <workbookView xWindow="240" yWindow="760" windowWidth="29440" windowHeight="17200" firstSheet="6" activeTab="15" xr2:uid="{00000000-000D-0000-FFFF-FFFF00000000}"/>
  </bookViews>
  <sheets>
    <sheet name="Overview" sheetId="1" r:id="rId1"/>
    <sheet name="Core_Loop" sheetId="2" r:id="rId2"/>
    <sheet name="Alchemy_Table" sheetId="3" r:id="rId3"/>
    <sheet name="Herb_Families" sheetId="4" r:id="rId4"/>
    <sheet name="Ingredients" sheetId="5" r:id="rId5"/>
    <sheet name="Potion_Catalog" sheetId="6" r:id="rId6"/>
    <sheet name="Rarity_Crafting" sheetId="7" r:id="rId7"/>
    <sheet name="Side_Effects" sheetId="8" r:id="rId8"/>
    <sheet name="Interactions" sheetId="9" r:id="rId9"/>
    <sheet name="Hooks" sheetId="10" r:id="rId10"/>
    <sheet name="OnRun_AlchemyRooms" sheetId="11" r:id="rId11"/>
    <sheet name="Resource_Summary" sheetId="12" r:id="rId12"/>
    <sheet name="Metrics_Globals" sheetId="13" r:id="rId13"/>
    <sheet name="Ingredient_Costs" sheetId="14" r:id="rId14"/>
    <sheet name="Computed_Metrics" sheetId="15" r:id="rId15"/>
    <sheet name="External_Links" sheetId="16" r:id="rId16"/>
  </sheets>
  <externalReferences>
    <externalReference r:id="rId1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6" l="1" a="1"/>
  <c r="B7" i="16" s="1"/>
  <c r="B10" i="14" s="1"/>
  <c r="B6" i="16" a="1"/>
  <c r="B6" i="16" s="1"/>
  <c r="B9" i="14" s="1"/>
  <c r="B5" i="16" a="1"/>
  <c r="B5" i="16" s="1"/>
  <c r="B8" i="14" s="1"/>
  <c r="B4" i="16" a="1"/>
  <c r="B4" i="16" s="1"/>
  <c r="B7" i="14" s="1"/>
  <c r="B3" i="16" a="1"/>
  <c r="B3" i="16" s="1"/>
  <c r="B6" i="14" s="1"/>
  <c r="B2" i="16" a="1"/>
  <c r="B2" i="16" s="1"/>
  <c r="B5" i="1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<sst xmlns="http://schemas.openxmlformats.org/spreadsheetml/2006/main" count="564" uniqueCount="430">
  <si>
    <t>Field</t>
  </si>
  <si>
    <t>Description</t>
  </si>
  <si>
    <t>System Name</t>
  </si>
  <si>
    <t>Tagline</t>
  </si>
  <si>
    <t>Purpose</t>
  </si>
  <si>
    <t>One‑line Summary</t>
  </si>
  <si>
    <t>Premise</t>
  </si>
  <si>
    <t>Core Loop</t>
  </si>
  <si>
    <t>Key Systems Touched</t>
  </si>
  <si>
    <t>Out of Scope (v1)</t>
  </si>
  <si>
    <t>Success Criteria</t>
  </si>
  <si>
    <t>Author</t>
  </si>
  <si>
    <t>Version</t>
  </si>
  <si>
    <t>Last Updated</t>
  </si>
  <si>
    <t>Potions System — “Distilling the Dead”</t>
  </si>
  <si>
    <t>Bottled feelings and fieldcraft: brew small miracles from Essence, Ectoplasm, Herbs, and Remains.</t>
  </si>
  <si>
    <t>Provide a modular, tunable buff/consumable system that bridges base care and dungeon risk/reward.</t>
  </si>
  <si>
    <t>Bottled bits of emotion, Essence, and Remains are distilled into short‑term effects that bend the rules of life and death.</t>
  </si>
  <si>
    <t>Potions replace tarot cards with crafted, narratively coherent buffs that smell like nostalgia and burnt sugar.</t>
  </si>
  <si>
    <t>Gather → Brew → Equip → Use (or Toss) → Refill (plus optional On‑Run Alchemy Rooms)</t>
  </si>
  <si>
    <t>Garden (Herbs), Manifest/Ectoplasm, Essence, Remains, Grace (unlock recipes), Mementos (rare effects), Contentment (brew quality)</t>
  </si>
  <si>
    <t>Permanent stat changes, skill trees within potions, complex chemistry puzzles.</t>
  </si>
  <si>
    <t>• Players craft/use 2–3 potions per run
• Buffs are meaningful but not mandatory
• Side effects create memorable, funny stories
• Recipe progression ties to Grace &amp; exploration</t>
  </si>
  <si>
    <t>Brandon (Caretaker Designer)</t>
  </si>
  <si>
    <t>1.0</t>
  </si>
  <si>
    <t>2025-10-31 20:52 UTC</t>
  </si>
  <si>
    <t>Phase</t>
  </si>
  <si>
    <t>Name</t>
  </si>
  <si>
    <t>What Happens</t>
  </si>
  <si>
    <t>Rules &amp; Costs</t>
  </si>
  <si>
    <t>UX Cues</t>
  </si>
  <si>
    <t>Gather Ingredients</t>
  </si>
  <si>
    <t>Brew Potions</t>
  </si>
  <si>
    <t>Equip for Runs</t>
  </si>
  <si>
    <t>Drink or Toss</t>
  </si>
  <si>
    <t>Refill Supplies</t>
  </si>
  <si>
    <t>Collect Essence, Ectoplasm, Spirit Herbs, Remains during runs and base upkeep.</t>
  </si>
  <si>
    <t>Use Alchemy Table; assign Alchemist ghost for speed/quality.</t>
  </si>
  <si>
    <t>Select up to 2–3 potions per run; optional On‑Run Alchemy Rooms.</t>
  </si>
  <si>
    <t>Use mid‑run for healing, buffs, utilities; toss for small area effects.</t>
  </si>
  <si>
    <t>Return to base; harvest herbs; restock core reagents; queue next batch.</t>
  </si>
  <si>
    <t>Dungeon node drops; Garden harvest; Manifest cleanup; banishment yield.</t>
  </si>
  <si>
    <t>Consume ingredients per recipe; apply quality modifier from Contentment.</t>
  </si>
  <si>
    <t>Quick‑slot UI; limited capacity forces choices.</t>
  </si>
  <si>
    <t>Instant; trigger cooldowns/side effects per recipe tier.</t>
  </si>
  <si>
    <t>Economy loop: seeds → herbs → potions → run → loot → repeat.</t>
  </si>
  <si>
    <t>UI: pickup toasts; inventory counters; recipe hint popups.</t>
  </si>
  <si>
    <t>Brew progress bar; mishap indicators; success/critical pop.</t>
  </si>
  <si>
    <t>Loadout panel; rarity badge; synergy tips.</t>
  </si>
  <si>
    <t>Radial menu; on‑screen timers; visual buff icons.</t>
  </si>
  <si>
    <t>Brew queue UI; auto‑restock toggles; predictive tooltips.</t>
  </si>
  <si>
    <t>Aspect</t>
  </si>
  <si>
    <t>Unlocked By</t>
  </si>
  <si>
    <t>Follower Role</t>
  </si>
  <si>
    <t>Visual</t>
  </si>
  <si>
    <t>Flavor</t>
  </si>
  <si>
    <t>Workstation for brewing potions. Converts raw ingredients into temporary-use items.</t>
  </si>
  <si>
    <t>Mid‑game Grace upgrade (after first successful boss).</t>
  </si>
  <si>
    <t>Assign ghosts as Alchemists; Contentment affects brew speed &amp; mishap chance.</t>
  </si>
  <si>
    <t>Cluttered table of beakers, candles, bone funnels; green smoke puffs.</t>
  </si>
  <si>
    <t>“Smells like regret and lavender.”</t>
  </si>
  <si>
    <t>HerbID</t>
  </si>
  <si>
    <t>Herb Name</t>
  </si>
  <si>
    <t>Category</t>
  </si>
  <si>
    <t>Grown In</t>
  </si>
  <si>
    <t>Notes</t>
  </si>
  <si>
    <t>HERB_CALMLEAF</t>
  </si>
  <si>
    <t>HERB_JOYBLOSSOM</t>
  </si>
  <si>
    <t>HERB_WARDSTEM</t>
  </si>
  <si>
    <t>HERB_SWIFTROOT</t>
  </si>
  <si>
    <t>HERB_NIGHTSHADE</t>
  </si>
  <si>
    <t>Calmleaf</t>
  </si>
  <si>
    <t>Joyblossom</t>
  </si>
  <si>
    <t>Wardstem</t>
  </si>
  <si>
    <t>Swiftroot</t>
  </si>
  <si>
    <t>Nightshade</t>
  </si>
  <si>
    <t>Restoration</t>
  </si>
  <si>
    <t>Social</t>
  </si>
  <si>
    <t>Protection</t>
  </si>
  <si>
    <t>Utility</t>
  </si>
  <si>
    <t>Epic Catalyst</t>
  </si>
  <si>
    <t>Garden of Rest</t>
  </si>
  <si>
    <t>Garden of Rest (rare)</t>
  </si>
  <si>
    <t>Drives healing &amp; appetite recovery recipes.</t>
  </si>
  <si>
    <t>Drives morale/social brews (Contentment/Bond).</t>
  </si>
  <si>
    <t>Drives resistance/warding &amp; shield brews.</t>
  </si>
  <si>
    <t>Drives speed/vision/utility brews.</t>
  </si>
  <si>
    <t>Used in Soul Brews; increases power &amp; side effects.</t>
  </si>
  <si>
    <t>Ingredient</t>
  </si>
  <si>
    <t>Source</t>
  </si>
  <si>
    <t>Essence</t>
  </si>
  <si>
    <t>Ectoplasm</t>
  </si>
  <si>
    <t>Remains</t>
  </si>
  <si>
    <t>Ash (optional)</t>
  </si>
  <si>
    <t>Produced by content ghosts / dungeon drops</t>
  </si>
  <si>
    <t>Manifest messes or enemies</t>
  </si>
  <si>
    <t>Banished ghosts / defeated wraiths</t>
  </si>
  <si>
    <t>Garden of Rest (rare proc/quest)</t>
  </si>
  <si>
    <t>Rituals</t>
  </si>
  <si>
    <t>Base binding energy; universal input</t>
  </si>
  <si>
    <t>Stabilizer; reduces mishap risk; increases duration slightly</t>
  </si>
  <si>
    <t>Catalyst; required for rare/epic; increases potency &amp; side effects</t>
  </si>
  <si>
    <t>Restoration category driver</t>
  </si>
  <si>
    <t>Social category driver</t>
  </si>
  <si>
    <t>Protection category driver</t>
  </si>
  <si>
    <t>Utility category driver</t>
  </si>
  <si>
    <t>Epic catalyst; power + risk</t>
  </si>
  <si>
    <t>Preservative; extends duration; prevents spoilage</t>
  </si>
  <si>
    <t>PotionID</t>
  </si>
  <si>
    <t>Tier</t>
  </si>
  <si>
    <t>Primary Effect</t>
  </si>
  <si>
    <t>Secondary / Side Effect</t>
  </si>
  <si>
    <t>Ingredients</t>
  </si>
  <si>
    <t>Brew Time (sec)</t>
  </si>
  <si>
    <t>Duration (sec)</t>
  </si>
  <si>
    <t>Cooldown (sec)</t>
  </si>
  <si>
    <t>POT_REMEDY_FLASK</t>
  </si>
  <si>
    <t>POT_ECTOBREW</t>
  </si>
  <si>
    <t>POT_STILLHEART</t>
  </si>
  <si>
    <t>POT_WARD_FLASK</t>
  </si>
  <si>
    <t>POT_DRIFT_TONIC</t>
  </si>
  <si>
    <t>POT_GLOW_FLASK</t>
  </si>
  <si>
    <t>POT_GLEAM_TONIC</t>
  </si>
  <si>
    <t>POT_WRATHBREW</t>
  </si>
  <si>
    <t>POT_MIRTH_BREW</t>
  </si>
  <si>
    <t>POT_GRACE_TONIC</t>
  </si>
  <si>
    <t>POT_SOUL_BREW</t>
  </si>
  <si>
    <t>Remedy Flask</t>
  </si>
  <si>
    <t>Ectobrew</t>
  </si>
  <si>
    <t>Stillheart Draught</t>
  </si>
  <si>
    <t>Ward Flask</t>
  </si>
  <si>
    <t>Drift Tonic</t>
  </si>
  <si>
    <t>Glow Flask</t>
  </si>
  <si>
    <t>Gleam Tonic</t>
  </si>
  <si>
    <t>Wrathbrew</t>
  </si>
  <si>
    <t>Mirth Brew</t>
  </si>
  <si>
    <t>Grace Tonic</t>
  </si>
  <si>
    <t>Soul Brew</t>
  </si>
  <si>
    <t>Empowerment</t>
  </si>
  <si>
    <t>Epic</t>
  </si>
  <si>
    <t>Common</t>
  </si>
  <si>
    <t>Uncommon</t>
  </si>
  <si>
    <t>Rare</t>
  </si>
  <si>
    <t>+50% damage 25s; +shield 1 hit</t>
  </si>
  <si>
    <t>Cures Manifest on target</t>
  </si>
  <si>
    <t>Restore 100% Appetite</t>
  </si>
  <si>
    <t>-30% corruption buildup for 60s</t>
  </si>
  <si>
    <t>Negate next hit; +brief invuln 3s</t>
  </si>
  <si>
    <t>+20% move speed 20s</t>
  </si>
  <si>
    <t>Reveal hidden paths &amp; traps 30s</t>
  </si>
  <si>
    <t>x2 Essence drops 30s</t>
  </si>
  <si>
    <t>+30% damage 20s</t>
  </si>
  <si>
    <t>+1 Contentment to all ghosts</t>
  </si>
  <si>
    <t>+50% Grace gain (next day)</t>
  </si>
  <si>
    <t>35% side‑effect roll (Fog or Boom)</t>
  </si>
  <si>
    <t>Small -Contentment (taste of ash)</t>
  </si>
  <si>
    <t>10% chance 'Sticky' debuff (slow 10s)</t>
  </si>
  <si>
    <t>+5% Work Efficiency during effect</t>
  </si>
  <si>
    <t>Small -Contentment to non‑Fanatics</t>
  </si>
  <si>
    <t>+10% Flicker gain</t>
  </si>
  <si>
    <t>Weakens Unrest effects (-10%)</t>
  </si>
  <si>
    <t>-5% Contentment to all ghosts (rumors of 'exploitation')</t>
  </si>
  <si>
    <t>+20% Unrest if used near camp</t>
  </si>
  <si>
    <t>Random Laughs (no penalty)</t>
  </si>
  <si>
    <t>-5% Essence gain (resting focus)</t>
  </si>
  <si>
    <t>Essence, Nightshade, Remains, Ash</t>
  </si>
  <si>
    <t>Essence, Calmleaf</t>
  </si>
  <si>
    <t>Essence, Calmleaf, Ectoplasm</t>
  </si>
  <si>
    <t>Essence, Wardstem, Ectoplasm</t>
  </si>
  <si>
    <t>Essence, Wardstem, Ectoplasm, Remains</t>
  </si>
  <si>
    <t>Essence, Swiftroot</t>
  </si>
  <si>
    <t>Essence, Swiftroot, Ectoplasm</t>
  </si>
  <si>
    <t>Essence, Joyblossom, Ectoplasm</t>
  </si>
  <si>
    <t>Essence, Joyblossom, Ectoplasm, Remains</t>
  </si>
  <si>
    <t>Essence, Joyblossom</t>
  </si>
  <si>
    <t>Essence, Calmleaf, Remains</t>
  </si>
  <si>
    <t>End‑boss tonic; high risk high reward</t>
  </si>
  <si>
    <t>Instant cast; use on manifesting ghost</t>
  </si>
  <si>
    <t>Best before long nights</t>
  </si>
  <si>
    <t>Stacks with Ward Flask</t>
  </si>
  <si>
    <t>Crit succeed grants +2 Grace</t>
  </si>
  <si>
    <t>Great for kiting or escape</t>
  </si>
  <si>
    <t>Combines with lanterns</t>
  </si>
  <si>
    <t>Use during high‑yield fights</t>
  </si>
  <si>
    <t>Best for boss burst</t>
  </si>
  <si>
    <t>Use after rough nights</t>
  </si>
  <si>
    <t>Good before ritual day</t>
  </si>
  <si>
    <t>Effect Strength (relative)</t>
  </si>
  <si>
    <t>Side Effect Chance</t>
  </si>
  <si>
    <t>Simple Tonics</t>
  </si>
  <si>
    <t>Standard Flasks</t>
  </si>
  <si>
    <t>Distilled Draughts</t>
  </si>
  <si>
    <t>Soul Brews</t>
  </si>
  <si>
    <t>Essence + Herb</t>
  </si>
  <si>
    <t>Essence + Herb + Ectoplasm</t>
  </si>
  <si>
    <t>Essence + Herb + Ectoplasm + Remains</t>
  </si>
  <si>
    <t>Essence + Rare Herb + Remains + Ash</t>
  </si>
  <si>
    <t>Quick craft, low risk; routine care</t>
  </si>
  <si>
    <t>Moderate power; minor mishaps possible</t>
  </si>
  <si>
    <t>High power; watch side effects</t>
  </si>
  <si>
    <t>Powerful but risky; best for bosses</t>
  </si>
  <si>
    <t>EffectID</t>
  </si>
  <si>
    <t>Severity</t>
  </si>
  <si>
    <t>Trigger Conditions</t>
  </si>
  <si>
    <t>SE_SOUR</t>
  </si>
  <si>
    <t>SE_FUMES</t>
  </si>
  <si>
    <t>SE_BOOM</t>
  </si>
  <si>
    <t>SE_LAUGH</t>
  </si>
  <si>
    <t>Sour Batch</t>
  </si>
  <si>
    <t>Spectral Fumes</t>
  </si>
  <si>
    <t>Boom Brew</t>
  </si>
  <si>
    <t>Laughing Draught</t>
  </si>
  <si>
    <t>Reduced potency (0.5x effect strength)</t>
  </si>
  <si>
    <t>Fog field spawns next run; -20% visibility for 30s</t>
  </si>
  <si>
    <t>Small explosion; -1 Contentment to nearby ghosts</t>
  </si>
  <si>
    <t>Random laughs from ghosts for a day (cosmetic)</t>
  </si>
  <si>
    <t>Low</t>
  </si>
  <si>
    <t>Med</t>
  </si>
  <si>
    <t>Brew quality &lt; 0.6</t>
  </si>
  <si>
    <t>Ectoplasm &gt; threshold</t>
  </si>
  <si>
    <t>Remains used with low Contentment</t>
  </si>
  <si>
    <t>Any; adds charm</t>
  </si>
  <si>
    <t>System</t>
  </si>
  <si>
    <t>Interaction</t>
  </si>
  <si>
    <t>Contentment</t>
  </si>
  <si>
    <t>Grace</t>
  </si>
  <si>
    <t>Mementos</t>
  </si>
  <si>
    <t>Manifest</t>
  </si>
  <si>
    <t>Charms</t>
  </si>
  <si>
    <t>Requests</t>
  </si>
  <si>
    <t>Grows Spirit Herbs; determines potion categories &amp; availability</t>
  </si>
  <si>
    <t>Required for rare/epic potions; ties dungeon loop to base care</t>
  </si>
  <si>
    <t>Affects brew success chance and side‑effect risk</t>
  </si>
  <si>
    <t>Unlocks new potion recipes &amp; Alchemy upgrades</t>
  </si>
  <si>
    <t>Some brews boost Memento generation temporarily</t>
  </si>
  <si>
    <t>Potions to induce/suppress Manifest; 'clean’ vs 'corrupt' paths</t>
  </si>
  <si>
    <t>Potions can buff charm effects or enable temporary sockets</t>
  </si>
  <si>
    <t>Brewed gifts satisfy/alter personal requests</t>
  </si>
  <si>
    <t>Hook ID</t>
  </si>
  <si>
    <t>Context / Feature</t>
  </si>
  <si>
    <t>Unity Component / Script</t>
  </si>
  <si>
    <t>Key Fields / Serialized Props</t>
  </si>
  <si>
    <t>Events (Invoke/Listen)</t>
  </si>
  <si>
    <t>Triggered By</t>
  </si>
  <si>
    <t>Emits / Subscribes To</t>
  </si>
  <si>
    <t>Expected Prefab / Asset</t>
  </si>
  <si>
    <t>Notes / Integration</t>
  </si>
  <si>
    <t>HK_AlchemyTable</t>
  </si>
  <si>
    <t>HK_BrewStation</t>
  </si>
  <si>
    <t>HK_BrewJobRunner</t>
  </si>
  <si>
    <t>HK_AlchemistAI</t>
  </si>
  <si>
    <t>HK_PotionItem</t>
  </si>
  <si>
    <t>HK_PotionEffects</t>
  </si>
  <si>
    <t>HK_PotionUI</t>
  </si>
  <si>
    <t>HK_PotionSpawner</t>
  </si>
  <si>
    <t>HK_PotionMishap</t>
  </si>
  <si>
    <t>HK_InventoryBridge</t>
  </si>
  <si>
    <t>HK_AlchemyRoom</t>
  </si>
  <si>
    <t>Core workstation and management</t>
  </si>
  <si>
    <t>Station instance that holds queue</t>
  </si>
  <si>
    <t>Runs a single brew job lifecycle</t>
  </si>
  <si>
    <t>Assigned follower to accelerate brewing</t>
  </si>
  <si>
    <t>Inventory item &amp; runtime behaviour</t>
  </si>
  <si>
    <t>Applies/removes timed effects</t>
  </si>
  <si>
    <t>Brew queue, equip, quick-slot assignment</t>
  </si>
  <si>
    <t>Spawns potion pickups in Shards</t>
  </si>
  <si>
    <t>Handles side effects &amp; failures</t>
  </si>
  <si>
    <t>Syncs potions with inventory resources</t>
  </si>
  <si>
    <t>On‑Run room with resources + station</t>
  </si>
  <si>
    <t>KD.Alchemy.AlchemyTable</t>
  </si>
  <si>
    <t>KD.Alchemy.BrewStation</t>
  </si>
  <si>
    <t>KD.Alchemy.BrewJobRunner</t>
  </si>
  <si>
    <t>KD.Tasks.AlchemistAI</t>
  </si>
  <si>
    <t>KD.Items.PotionItem</t>
  </si>
  <si>
    <t>KD.Consumables.PotionEffectHandler</t>
  </si>
  <si>
    <t>KD.UI.PotionPanel</t>
  </si>
  <si>
    <t>KD.Adventure.PotionSpawner</t>
  </si>
  <si>
    <t>KD.Alchemy.MishapController</t>
  </si>
  <si>
    <t>KD.Inventory.PotionBridge</t>
  </si>
  <si>
    <t>KD.Adventure.AlchemyRoom</t>
  </si>
  <si>
    <t>queue[], slots, maxConcurrent, qualityMult, unlocks[]</t>
  </si>
  <si>
    <t>stationId, assignedGhostId, stationLevel, mishapRate</t>
  </si>
  <si>
    <t>recipeId, inputRefs, brewTime, quality</t>
  </si>
  <si>
    <t>skillLevel, contentmentRef, mishapMitigation, speedMult</t>
  </si>
  <si>
    <t>potionId, tier, stack, effectData</t>
  </si>
  <si>
    <t>effectId, duration, magnitude, sideEffectHooks</t>
  </si>
  <si>
    <t>slotCount, cooldowns[], rarityFilter, showTiers</t>
  </si>
  <si>
    <t>spawnTable, rarityWeights, cooldown</t>
  </si>
  <si>
    <t>mishapChances{}, sideEffects[], contentmentThreshold</t>
  </si>
  <si>
    <t>inventoryRef, quickSlots[], saveKeys[]</t>
  </si>
  <si>
    <t>roomId, stationPrefab, lootNodes[], herbNodes[], fuelNodes[], spawnWeights</t>
  </si>
  <si>
    <t>OnBrewQueued, OnBrewComplete</t>
  </si>
  <si>
    <t>OnStationReady, OnStationBusy</t>
  </si>
  <si>
    <t>OnBrewStart, OnBrewTick, OnBrewFinish</t>
  </si>
  <si>
    <t>OnTaskAssigned, OnBrewTick</t>
  </si>
  <si>
    <t>OnPotionUse, OnPotionExpire</t>
  </si>
  <si>
    <t>OnEffectStart, OnEffectEnd</t>
  </si>
  <si>
    <t>OnSlotAssign, OnUsePressed</t>
  </si>
  <si>
    <t>OnPotionSpawned, OnPickup</t>
  </si>
  <si>
    <t>OnMishapTriggered</t>
  </si>
  <si>
    <t>OnInventoryChanged</t>
  </si>
  <si>
    <t>OnRoomEntered, OnRoomCleared</t>
  </si>
  <si>
    <t>Player input; Grace unlocks</t>
  </si>
  <si>
    <t>Assign ghost; queue not empty</t>
  </si>
  <si>
    <t>Queue step; timers; player confirm</t>
  </si>
  <si>
    <t>Scheduler; player assignment</t>
  </si>
  <si>
    <t>Player use mid-run; quick slot</t>
  </si>
  <si>
    <t>Use potion; timer tick</t>
  </si>
  <si>
    <t>Loadout changes; cooldown end</t>
  </si>
  <si>
    <t>Room enter; chest open</t>
  </si>
  <si>
    <t>Low Contentment; wrong ingredients</t>
  </si>
  <si>
    <t>Crafting; pickup; use</t>
  </si>
  <si>
    <t>Procedural room roll; biome events</t>
  </si>
  <si>
    <t>Emit: OnBrewQueued; Sub: OnUpgradeUnlocked</t>
  </si>
  <si>
    <t>Sub: OnBrewQueued; Emit: OnStationReady</t>
  </si>
  <si>
    <t>Emit: Brew events; Sub: Globals tick</t>
  </si>
  <si>
    <t>Sub: OnStationReady; Emit: OnBrewTick</t>
  </si>
  <si>
    <t>Emit: OnPotionUse; Sub: Inventory</t>
  </si>
  <si>
    <t>Emit: OnEffectStart/End; Sub: OnPotionUse</t>
  </si>
  <si>
    <t>Emit: OnEquipChange; Sub: Input</t>
  </si>
  <si>
    <t>Emit: Spawned; Sub: RoomEnter</t>
  </si>
  <si>
    <t>Emit: Mishap events; Sub: BrewJobRunner</t>
  </si>
  <si>
    <t>Bridge events to save/inventory</t>
  </si>
  <si>
    <t>Emit: OnRoomLootResolved; Sub: ProcGen</t>
  </si>
  <si>
    <t>PF_AlchemyTable, SO_RecipeLibrary, UI_Potions</t>
  </si>
  <si>
    <t>PF_BrewStation</t>
  </si>
  <si>
    <t>PF_BrewJobRunner</t>
  </si>
  <si>
    <t>PF_Ghost_Alchemist, Anim_Stir, Tool_Pestle</t>
  </si>
  <si>
    <t>PF_Potion_[ID], Icon_[ID]</t>
  </si>
  <si>
    <t>VFX_Buff_[Type], SFX_Drink_[Type]</t>
  </si>
  <si>
    <t>UI_PotionPanel, UI_QuickSlots</t>
  </si>
  <si>
    <t>PF_PotionPickup_[Tier]</t>
  </si>
  <si>
    <t>VFX_Explosion/Smoke, SFX_Boop</t>
  </si>
  <si>
    <t>SO_PotionRecipes, SO_PotionItems</t>
  </si>
  <si>
    <t>PF_AlchemyRoom, PF_BrewStation, HerbNodes, ResourceProps</t>
  </si>
  <si>
    <t>Central entry; persists queues; ties to Grace unlocks</t>
  </si>
  <si>
    <t>Multiple stations allowed; upgrade via Grace</t>
  </si>
  <si>
    <t>Supports queueing + mishap resolution</t>
  </si>
  <si>
    <t>Contentment affects brew speed &amp; mishap</t>
  </si>
  <si>
    <t>Item stacks; spoil rules if no Ash</t>
  </si>
  <si>
    <t>Hooks to Charms/Status</t>
  </si>
  <si>
    <t>Controller + radial UI parity</t>
  </si>
  <si>
    <t>Uses seeded RNG; supports on-run craft rooms</t>
  </si>
  <si>
    <t>Hook for side-effect system &amp; analytics</t>
  </si>
  <si>
    <t>Serialize quick slots/inventory counts</t>
  </si>
  <si>
    <t>Room prefab provides ingredients + brewing capability</t>
  </si>
  <si>
    <t>Spawn Rule (Base)</t>
  </si>
  <si>
    <t>Spawn Modifiers</t>
  </si>
  <si>
    <t>Biome Weights</t>
  </si>
  <si>
    <t>Room Contents</t>
  </si>
  <si>
    <t>Station</t>
  </si>
  <si>
    <t>Loot Nodes</t>
  </si>
  <si>
    <t>Safety Rules</t>
  </si>
  <si>
    <t>Mishap Bias</t>
  </si>
  <si>
    <t>Exit Condition</t>
  </si>
  <si>
    <t>Allow crafting mid-dungeon; reinforce the run with limited-resource brewing.</t>
  </si>
  <si>
    <t>5–12% chance per floor node; at most 1 per run by default.</t>
  </si>
  <si>
    <t>Increase chance if player has 0 potions; decrease if inventory full.</t>
  </si>
  <si>
    <t>Withered Parish: 1.0 • Dream Trenches: 1.2 • Lantern Isles: 0.8 (example)</t>
  </si>
  <si>
    <t>Small set dressing, 1 Brew Station, 2–4 Herb nodes, 1–2 Ectoplasm, 0–1 Remains.</t>
  </si>
  <si>
    <t>PF_BrewStation (on-run) with shorter brew times and higher mishap chance.</t>
  </si>
  <si>
    <t>Herb props (Joyblossom/Calmleaf/etc.), Ectoplasm glob, rare Remains urn.</t>
  </si>
  <si>
    <t>No elite spawns in-room while brewing; timer pauses in safe mode.</t>
  </si>
  <si>
    <t>+10% mishap chance on-run; treat as 'rough conditions'</t>
  </si>
  <si>
    <t>Brew queue empty, or loot resolved, or room cleared.</t>
  </si>
  <si>
    <t>Resource</t>
  </si>
  <si>
    <t>Acquired From</t>
  </si>
  <si>
    <t>Used For</t>
  </si>
  <si>
    <t>Spirit Herbs</t>
  </si>
  <si>
    <t>Unique herbs grown in your Garden of Rest, each representing an emotion.</t>
  </si>
  <si>
    <t>Sticky residue from Manifest; used as stabilizer/fertilizer.</t>
  </si>
  <si>
    <t>Fragments of the departed; act as catalyst for strong brews.</t>
  </si>
  <si>
    <t>Emotional energy; base binding material for all potions.</t>
  </si>
  <si>
    <t>Garden of Rest (planting system)</t>
  </si>
  <si>
    <t>Cleaning Manifest messes or defeating enemies</t>
  </si>
  <si>
    <t>Dungeons, banishments, rituals</t>
  </si>
  <si>
    <t>Produced by content ghosts; dungeon drops</t>
  </si>
  <si>
    <t>Potion crafting; determines potion type</t>
  </si>
  <si>
    <t>Stabilize potions; reduce mishaps; extend duration</t>
  </si>
  <si>
    <t>Catalyze rare/epic; power + risk</t>
  </si>
  <si>
    <t>Bind and power most brews</t>
  </si>
  <si>
    <t>Key</t>
  </si>
  <si>
    <t>Value</t>
  </si>
  <si>
    <t>token_value_per_essence</t>
  </si>
  <si>
    <t>token_value_per_ectoplasm</t>
  </si>
  <si>
    <t>token_value_per_remains</t>
  </si>
  <si>
    <t>token_value_per_herb_common</t>
  </si>
  <si>
    <t>token_value_per_herb_rare</t>
  </si>
  <si>
    <t>slot_capacity_per_run</t>
  </si>
  <si>
    <t>expected_uses_per_slot</t>
  </si>
  <si>
    <t>tier_effect_weight_common</t>
  </si>
  <si>
    <t>tier_effect_weight_uncommon</t>
  </si>
  <si>
    <t>tier_effect_weight_rare</t>
  </si>
  <si>
    <t>tier_effect_weight_epic</t>
  </si>
  <si>
    <t>sideeffect_exp_penalty_common</t>
  </si>
  <si>
    <t>sideeffect_exp_penalty_uncommon</t>
  </si>
  <si>
    <t>sideeffect_exp_penalty_rare</t>
  </si>
  <si>
    <t>sideeffect_exp_penalty_epic</t>
  </si>
  <si>
    <t>Exchange assumption for balancing</t>
  </si>
  <si>
    <t>Stabilizer fuel value</t>
  </si>
  <si>
    <t>Catalyst value</t>
  </si>
  <si>
    <t>Baseline herb unit</t>
  </si>
  <si>
    <t>Rare herb value</t>
  </si>
  <si>
    <t>Typical cap</t>
  </si>
  <si>
    <t>Avg use rate/run</t>
  </si>
  <si>
    <t>Common potency scalar</t>
  </si>
  <si>
    <t>Expected penalty fraction (Common)</t>
  </si>
  <si>
    <t>TokenValue</t>
  </si>
  <si>
    <t>Ash</t>
  </si>
  <si>
    <t>Ingredients (Text)</t>
  </si>
  <si>
    <t>Estimated Total Cost (Tokens)</t>
  </si>
  <si>
    <t>Effect Value (relative)</t>
  </si>
  <si>
    <t>Expected Uses / Run</t>
  </si>
  <si>
    <t>Net Value (Effect-Cost)</t>
  </si>
  <si>
    <t>60</t>
  </si>
  <si>
    <t>Tune via Metrics_Globals</t>
  </si>
  <si>
    <t>LinkKey</t>
  </si>
  <si>
    <t>Excel_Formula</t>
  </si>
  <si>
    <t>Calmleaf_BaseValue_From_Resources</t>
  </si>
  <si>
    <t>Joyblossom_BaseValue_From_Resources</t>
  </si>
  <si>
    <t>Wardstem_BaseValue_From_Resources</t>
  </si>
  <si>
    <t>Swiftroot_BaseValue_From_Resources</t>
  </si>
  <si>
    <t>Nightshade_BaseValue_From_Resources</t>
  </si>
  <si>
    <t>Ash_BaseValue_From_Resources</t>
  </si>
  <si>
    <t>Proxy for Calmleaf using Whisperbloom Flower base value</t>
  </si>
  <si>
    <t>Proxy for Joyblossom using Mirthpetal bundle base value</t>
  </si>
  <si>
    <t>Proxy for Wardstem using Griefroot Thorns base value</t>
  </si>
  <si>
    <t>Proxy for Swiftroot using Lament Lily nectar base value</t>
  </si>
  <si>
    <t>Proxy for Nightshade using Wraith Resin base value</t>
  </si>
  <si>
    <t>Proxy for Ash using Ash Shard base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</si>
</sst>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randonthompson/Desktop/Resources_List_With_Folder_Structure_SeedsOutputs_Metrics.xlsx" TargetMode="External"/><Relationship Id="rId1" Type="http://schemas.openxmlformats.org/officeDocument/2006/relationships/externalLinkPath" Target="/Users/brandonthompson/Desktop/Resources_List_With_Folder_Structure_SeedsOutputs_Metr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ources"/>
      <sheetName val="Buildings"/>
      <sheetName val="Emotional_Systems"/>
      <sheetName val="Crafting_Chains"/>
      <sheetName val="Economy_Flowchart"/>
      <sheetName val="Legend"/>
      <sheetName val="Seeds"/>
      <sheetName val="Garden_Outputs"/>
      <sheetName val="Globals"/>
      <sheetName val="Computed_Metri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OutputID</v>
          </cell>
          <cell r="H1" t="str">
            <v>Base Value (Tokens)</v>
          </cell>
        </row>
        <row r="2">
          <cell r="A2" t="str">
            <v>OUT_WHISPERBLOOM_FLOWER</v>
          </cell>
          <cell r="H2">
            <v>2</v>
          </cell>
        </row>
        <row r="3">
          <cell r="A3" t="str">
            <v>OUT_GRIEFROOT_THORNS</v>
          </cell>
          <cell r="H3">
            <v>4</v>
          </cell>
        </row>
        <row r="4">
          <cell r="A4" t="str">
            <v>OUT_GRIEFROOT_RESIN</v>
          </cell>
          <cell r="H4">
            <v>5</v>
          </cell>
        </row>
        <row r="5">
          <cell r="A5" t="str">
            <v>OUT_MIRTHPETAL_BUNDLE</v>
          </cell>
          <cell r="H5">
            <v>3</v>
          </cell>
        </row>
        <row r="6">
          <cell r="A6" t="str">
            <v>OUT_FORGETME_PETAL</v>
          </cell>
          <cell r="H6">
            <v>4</v>
          </cell>
        </row>
        <row r="7">
          <cell r="A7" t="str">
            <v>OUT_ASHBLOSSOM_PETAL</v>
          </cell>
          <cell r="H7">
            <v>3</v>
          </cell>
        </row>
        <row r="8">
          <cell r="A8" t="str">
            <v>OUT_ASH_SHARD</v>
          </cell>
          <cell r="H8">
            <v>8</v>
          </cell>
        </row>
        <row r="9">
          <cell r="A9" t="str">
            <v>OUT_ECTOFRUIT</v>
          </cell>
          <cell r="H9">
            <v>6</v>
          </cell>
        </row>
        <row r="10">
          <cell r="A10" t="str">
            <v>OUT_KINDLE_FREND</v>
          </cell>
          <cell r="H10">
            <v>3</v>
          </cell>
        </row>
        <row r="11">
          <cell r="A11" t="str">
            <v>OUT_LAMENT_NECTAR</v>
          </cell>
          <cell r="H11">
            <v>4</v>
          </cell>
        </row>
        <row r="12">
          <cell r="A12" t="str">
            <v>OUT_WRAITH_RESIN</v>
          </cell>
          <cell r="H12">
            <v>10</v>
          </cell>
        </row>
        <row r="13">
          <cell r="A13" t="str">
            <v>OUT_PEACE_PETAL</v>
          </cell>
          <cell r="H13">
            <v>0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14</v>
      </c>
    </row>
    <row r="3" spans="1:2" x14ac:dyDescent="0.2">
      <c r="A3" t="s">
        <v>3</v>
      </c>
      <c r="B3" t="s">
        <v>15</v>
      </c>
    </row>
    <row r="4" spans="1:2" x14ac:dyDescent="0.2">
      <c r="A4" t="s">
        <v>4</v>
      </c>
      <c r="B4" t="s">
        <v>16</v>
      </c>
    </row>
    <row r="5" spans="1:2" x14ac:dyDescent="0.2">
      <c r="A5" t="s">
        <v>5</v>
      </c>
      <c r="B5" t="s">
        <v>17</v>
      </c>
    </row>
    <row r="6" spans="1:2" x14ac:dyDescent="0.2">
      <c r="A6" t="s">
        <v>6</v>
      </c>
      <c r="B6" t="s">
        <v>18</v>
      </c>
    </row>
    <row r="7" spans="1:2" x14ac:dyDescent="0.2">
      <c r="A7" t="s">
        <v>7</v>
      </c>
      <c r="B7" t="s">
        <v>19</v>
      </c>
    </row>
    <row r="8" spans="1:2" x14ac:dyDescent="0.2">
      <c r="A8" t="s">
        <v>8</v>
      </c>
      <c r="B8" t="s">
        <v>20</v>
      </c>
    </row>
    <row r="9" spans="1:2" x14ac:dyDescent="0.2">
      <c r="A9" t="s">
        <v>9</v>
      </c>
      <c r="B9" t="s">
        <v>21</v>
      </c>
    </row>
    <row r="10" spans="1:2" x14ac:dyDescent="0.2">
      <c r="A10" t="s">
        <v>10</v>
      </c>
      <c r="B10" t="s">
        <v>22</v>
      </c>
    </row>
    <row r="11" spans="1:2" x14ac:dyDescent="0.2">
      <c r="A11" t="s">
        <v>11</v>
      </c>
      <c r="B11" t="s">
        <v>23</v>
      </c>
    </row>
    <row r="12" spans="1:2" x14ac:dyDescent="0.2">
      <c r="A12" t="s">
        <v>12</v>
      </c>
      <c r="B12" t="s">
        <v>24</v>
      </c>
    </row>
    <row r="13" spans="1:2" x14ac:dyDescent="0.2">
      <c r="A13" t="s">
        <v>13</v>
      </c>
      <c r="B1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">
      <c r="A2">
        <v>1</v>
      </c>
      <c r="B2" t="s">
        <v>31</v>
      </c>
      <c r="C2" t="s">
        <v>36</v>
      </c>
      <c r="D2" t="s">
        <v>41</v>
      </c>
      <c r="E2" t="s">
        <v>46</v>
      </c>
    </row>
    <row r="3" spans="1:5" x14ac:dyDescent="0.2">
      <c r="A3">
        <v>2</v>
      </c>
      <c r="B3" t="s">
        <v>32</v>
      </c>
      <c r="C3" t="s">
        <v>37</v>
      </c>
      <c r="D3" t="s">
        <v>42</v>
      </c>
      <c r="E3" t="s">
        <v>47</v>
      </c>
    </row>
    <row r="4" spans="1:5" x14ac:dyDescent="0.2">
      <c r="A4">
        <v>3</v>
      </c>
      <c r="B4" t="s">
        <v>33</v>
      </c>
      <c r="C4" t="s">
        <v>38</v>
      </c>
      <c r="D4" t="s">
        <v>43</v>
      </c>
      <c r="E4" t="s">
        <v>48</v>
      </c>
    </row>
    <row r="5" spans="1:5" x14ac:dyDescent="0.2">
      <c r="A5">
        <v>4</v>
      </c>
      <c r="B5" t="s">
        <v>34</v>
      </c>
      <c r="C5" t="s">
        <v>39</v>
      </c>
      <c r="D5" t="s">
        <v>44</v>
      </c>
      <c r="E5" t="s">
        <v>49</v>
      </c>
    </row>
    <row r="6" spans="1:5" x14ac:dyDescent="0.2">
      <c r="A6">
        <v>5</v>
      </c>
      <c r="B6" t="s">
        <v>35</v>
      </c>
      <c r="C6" t="s">
        <v>40</v>
      </c>
      <c r="D6" t="s">
        <v>45</v>
      </c>
      <c r="E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51</v>
      </c>
      <c r="B1" s="1" t="s">
        <v>1</v>
      </c>
    </row>
    <row r="2" spans="1:2" x14ac:dyDescent="0.2">
      <c r="A2" t="s">
        <v>4</v>
      </c>
      <c r="B2" t="s">
        <v>56</v>
      </c>
    </row>
    <row r="3" spans="1:2" x14ac:dyDescent="0.2">
      <c r="A3" t="s">
        <v>52</v>
      </c>
      <c r="B3" t="s">
        <v>57</v>
      </c>
    </row>
    <row r="4" spans="1:2" x14ac:dyDescent="0.2">
      <c r="A4" t="s">
        <v>53</v>
      </c>
      <c r="B4" t="s">
        <v>58</v>
      </c>
    </row>
    <row r="5" spans="1:2" x14ac:dyDescent="0.2">
      <c r="A5" t="s">
        <v>54</v>
      </c>
      <c r="B5" t="s">
        <v>59</v>
      </c>
    </row>
    <row r="6" spans="1:2" x14ac:dyDescent="0.2">
      <c r="A6" t="s">
        <v>55</v>
      </c>
      <c r="B6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</row>
    <row r="2" spans="1:5" x14ac:dyDescent="0.2">
      <c r="A2" t="s">
        <v>66</v>
      </c>
      <c r="B2" t="s">
        <v>71</v>
      </c>
      <c r="C2" t="s">
        <v>76</v>
      </c>
      <c r="D2" t="s">
        <v>81</v>
      </c>
      <c r="E2" t="s">
        <v>83</v>
      </c>
    </row>
    <row r="3" spans="1:5" x14ac:dyDescent="0.2">
      <c r="A3" t="s">
        <v>67</v>
      </c>
      <c r="B3" t="s">
        <v>72</v>
      </c>
      <c r="C3" t="s">
        <v>77</v>
      </c>
      <c r="D3" t="s">
        <v>81</v>
      </c>
      <c r="E3" t="s">
        <v>84</v>
      </c>
    </row>
    <row r="4" spans="1:5" x14ac:dyDescent="0.2">
      <c r="A4" t="s">
        <v>68</v>
      </c>
      <c r="B4" t="s">
        <v>73</v>
      </c>
      <c r="C4" t="s">
        <v>78</v>
      </c>
      <c r="D4" t="s">
        <v>81</v>
      </c>
      <c r="E4" t="s">
        <v>85</v>
      </c>
    </row>
    <row r="5" spans="1:5" x14ac:dyDescent="0.2">
      <c r="A5" t="s">
        <v>69</v>
      </c>
      <c r="B5" t="s">
        <v>74</v>
      </c>
      <c r="C5" t="s">
        <v>79</v>
      </c>
      <c r="D5" t="s">
        <v>81</v>
      </c>
      <c r="E5" t="s">
        <v>86</v>
      </c>
    </row>
    <row r="6" spans="1:5" x14ac:dyDescent="0.2">
      <c r="A6" t="s">
        <v>70</v>
      </c>
      <c r="B6" t="s">
        <v>75</v>
      </c>
      <c r="C6" t="s">
        <v>80</v>
      </c>
      <c r="D6" t="s">
        <v>82</v>
      </c>
      <c r="E6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88</v>
      </c>
      <c r="B1" s="1" t="s">
        <v>89</v>
      </c>
      <c r="C1" s="1" t="s">
        <v>65</v>
      </c>
    </row>
    <row r="2" spans="1:3" x14ac:dyDescent="0.2">
      <c r="A2" t="s">
        <v>90</v>
      </c>
      <c r="B2" t="s">
        <v>94</v>
      </c>
      <c r="C2" t="s">
        <v>99</v>
      </c>
    </row>
    <row r="3" spans="1:3" x14ac:dyDescent="0.2">
      <c r="A3" t="s">
        <v>91</v>
      </c>
      <c r="B3" t="s">
        <v>95</v>
      </c>
      <c r="C3" t="s">
        <v>100</v>
      </c>
    </row>
    <row r="4" spans="1:3" x14ac:dyDescent="0.2">
      <c r="A4" t="s">
        <v>92</v>
      </c>
      <c r="B4" t="s">
        <v>96</v>
      </c>
      <c r="C4" t="s">
        <v>101</v>
      </c>
    </row>
    <row r="5" spans="1:3" x14ac:dyDescent="0.2">
      <c r="A5" t="s">
        <v>71</v>
      </c>
      <c r="B5" t="s">
        <v>81</v>
      </c>
      <c r="C5" t="s">
        <v>102</v>
      </c>
    </row>
    <row r="6" spans="1:3" x14ac:dyDescent="0.2">
      <c r="A6" t="s">
        <v>72</v>
      </c>
      <c r="B6" t="s">
        <v>81</v>
      </c>
      <c r="C6" t="s">
        <v>103</v>
      </c>
    </row>
    <row r="7" spans="1:3" x14ac:dyDescent="0.2">
      <c r="A7" t="s">
        <v>73</v>
      </c>
      <c r="B7" t="s">
        <v>81</v>
      </c>
      <c r="C7" t="s">
        <v>104</v>
      </c>
    </row>
    <row r="8" spans="1:3" x14ac:dyDescent="0.2">
      <c r="A8" t="s">
        <v>74</v>
      </c>
      <c r="B8" t="s">
        <v>81</v>
      </c>
      <c r="C8" t="s">
        <v>105</v>
      </c>
    </row>
    <row r="9" spans="1:3" x14ac:dyDescent="0.2">
      <c r="A9" t="s">
        <v>75</v>
      </c>
      <c r="B9" t="s">
        <v>97</v>
      </c>
      <c r="C9" t="s">
        <v>106</v>
      </c>
    </row>
    <row r="10" spans="1:3" x14ac:dyDescent="0.2">
      <c r="A10" t="s">
        <v>93</v>
      </c>
      <c r="B10" t="s">
        <v>98</v>
      </c>
      <c r="C10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108</v>
      </c>
      <c r="B1" s="1" t="s">
        <v>27</v>
      </c>
      <c r="C1" s="1" t="s">
        <v>63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65</v>
      </c>
    </row>
    <row r="2" spans="1:11" x14ac:dyDescent="0.2">
      <c r="A2" t="s">
        <v>116</v>
      </c>
      <c r="B2" t="s">
        <v>127</v>
      </c>
      <c r="C2" t="s">
        <v>76</v>
      </c>
      <c r="D2" t="s">
        <v>140</v>
      </c>
      <c r="E2" t="s">
        <v>144</v>
      </c>
      <c r="F2" t="s">
        <v>155</v>
      </c>
      <c r="G2" t="s">
        <v>166</v>
      </c>
      <c r="H2">
        <v>20</v>
      </c>
      <c r="I2">
        <v>0</v>
      </c>
      <c r="J2">
        <v>0</v>
      </c>
      <c r="K2" t="s">
        <v>177</v>
      </c>
    </row>
    <row r="3" spans="1:11" x14ac:dyDescent="0.2">
      <c r="A3" t="s">
        <v>117</v>
      </c>
      <c r="B3" t="s">
        <v>128</v>
      </c>
      <c r="C3" t="s">
        <v>76</v>
      </c>
      <c r="D3" t="s">
        <v>140</v>
      </c>
      <c r="E3" t="s">
        <v>145</v>
      </c>
      <c r="F3" t="s">
        <v>156</v>
      </c>
      <c r="G3" t="s">
        <v>167</v>
      </c>
      <c r="H3">
        <v>25</v>
      </c>
      <c r="I3">
        <v>0</v>
      </c>
      <c r="J3">
        <v>0</v>
      </c>
      <c r="K3" t="s">
        <v>178</v>
      </c>
    </row>
    <row r="4" spans="1:11" x14ac:dyDescent="0.2">
      <c r="A4" t="s">
        <v>118</v>
      </c>
      <c r="B4" t="s">
        <v>129</v>
      </c>
      <c r="C4" t="s">
        <v>78</v>
      </c>
      <c r="D4" t="s">
        <v>141</v>
      </c>
      <c r="E4" t="s">
        <v>146</v>
      </c>
      <c r="F4" t="s">
        <v>157</v>
      </c>
      <c r="G4" t="s">
        <v>168</v>
      </c>
      <c r="H4">
        <v>30</v>
      </c>
      <c r="I4">
        <v>60</v>
      </c>
      <c r="J4">
        <v>60</v>
      </c>
      <c r="K4" t="s">
        <v>179</v>
      </c>
    </row>
    <row r="5" spans="1:11" x14ac:dyDescent="0.2">
      <c r="A5" t="s">
        <v>119</v>
      </c>
      <c r="B5" t="s">
        <v>130</v>
      </c>
      <c r="C5" t="s">
        <v>78</v>
      </c>
      <c r="D5" t="s">
        <v>142</v>
      </c>
      <c r="E5" t="s">
        <v>147</v>
      </c>
      <c r="F5" t="s">
        <v>158</v>
      </c>
      <c r="G5" t="s">
        <v>169</v>
      </c>
      <c r="H5">
        <v>45</v>
      </c>
      <c r="I5">
        <v>30</v>
      </c>
      <c r="J5">
        <v>90</v>
      </c>
      <c r="K5" t="s">
        <v>180</v>
      </c>
    </row>
    <row r="6" spans="1:11" x14ac:dyDescent="0.2">
      <c r="A6" t="s">
        <v>120</v>
      </c>
      <c r="B6" t="s">
        <v>131</v>
      </c>
      <c r="C6" t="s">
        <v>79</v>
      </c>
      <c r="D6" t="s">
        <v>140</v>
      </c>
      <c r="E6" t="s">
        <v>148</v>
      </c>
      <c r="F6" t="s">
        <v>159</v>
      </c>
      <c r="G6" t="s">
        <v>170</v>
      </c>
      <c r="H6">
        <v>20</v>
      </c>
      <c r="I6">
        <v>20</v>
      </c>
      <c r="J6">
        <v>40</v>
      </c>
      <c r="K6" t="s">
        <v>181</v>
      </c>
    </row>
    <row r="7" spans="1:11" x14ac:dyDescent="0.2">
      <c r="A7" t="s">
        <v>121</v>
      </c>
      <c r="B7" t="s">
        <v>132</v>
      </c>
      <c r="C7" t="s">
        <v>79</v>
      </c>
      <c r="D7" t="s">
        <v>141</v>
      </c>
      <c r="E7" t="s">
        <v>149</v>
      </c>
      <c r="F7" t="s">
        <v>160</v>
      </c>
      <c r="G7" t="s">
        <v>171</v>
      </c>
      <c r="H7">
        <v>30</v>
      </c>
      <c r="I7">
        <v>30</v>
      </c>
      <c r="J7">
        <v>60</v>
      </c>
      <c r="K7" t="s">
        <v>182</v>
      </c>
    </row>
    <row r="8" spans="1:11" x14ac:dyDescent="0.2">
      <c r="A8" t="s">
        <v>122</v>
      </c>
      <c r="B8" t="s">
        <v>133</v>
      </c>
      <c r="C8" t="s">
        <v>138</v>
      </c>
      <c r="D8" t="s">
        <v>141</v>
      </c>
      <c r="E8" t="s">
        <v>150</v>
      </c>
      <c r="F8" t="s">
        <v>161</v>
      </c>
      <c r="G8" t="s">
        <v>172</v>
      </c>
      <c r="H8">
        <v>35</v>
      </c>
      <c r="I8">
        <v>30</v>
      </c>
      <c r="J8">
        <v>90</v>
      </c>
      <c r="K8" t="s">
        <v>183</v>
      </c>
    </row>
    <row r="9" spans="1:11" x14ac:dyDescent="0.2">
      <c r="A9" t="s">
        <v>123</v>
      </c>
      <c r="B9" t="s">
        <v>134</v>
      </c>
      <c r="C9" t="s">
        <v>138</v>
      </c>
      <c r="D9" t="s">
        <v>142</v>
      </c>
      <c r="E9" t="s">
        <v>151</v>
      </c>
      <c r="F9" t="s">
        <v>162</v>
      </c>
      <c r="G9" t="s">
        <v>173</v>
      </c>
      <c r="H9">
        <v>40</v>
      </c>
      <c r="I9">
        <v>20</v>
      </c>
      <c r="J9">
        <v>75</v>
      </c>
      <c r="K9" t="s">
        <v>184</v>
      </c>
    </row>
    <row r="10" spans="1:11" x14ac:dyDescent="0.2">
      <c r="A10" t="s">
        <v>124</v>
      </c>
      <c r="B10" t="s">
        <v>135</v>
      </c>
      <c r="C10" t="s">
        <v>77</v>
      </c>
      <c r="D10" t="s">
        <v>140</v>
      </c>
      <c r="E10" t="s">
        <v>152</v>
      </c>
      <c r="F10" t="s">
        <v>163</v>
      </c>
      <c r="G10" t="s">
        <v>174</v>
      </c>
      <c r="H10">
        <v>25</v>
      </c>
      <c r="I10">
        <v>0</v>
      </c>
      <c r="J10">
        <v>0</v>
      </c>
      <c r="K10" t="s">
        <v>185</v>
      </c>
    </row>
    <row r="11" spans="1:11" x14ac:dyDescent="0.2">
      <c r="A11" t="s">
        <v>125</v>
      </c>
      <c r="B11" t="s">
        <v>136</v>
      </c>
      <c r="C11" t="s">
        <v>77</v>
      </c>
      <c r="D11" t="s">
        <v>142</v>
      </c>
      <c r="E11" t="s">
        <v>153</v>
      </c>
      <c r="F11" t="s">
        <v>164</v>
      </c>
      <c r="G11" t="s">
        <v>175</v>
      </c>
      <c r="H11">
        <v>45</v>
      </c>
      <c r="I11">
        <v>0</v>
      </c>
      <c r="J11">
        <v>0</v>
      </c>
      <c r="K11" t="s">
        <v>186</v>
      </c>
    </row>
    <row r="12" spans="1:11" x14ac:dyDescent="0.2">
      <c r="A12" t="s">
        <v>126</v>
      </c>
      <c r="B12" t="s">
        <v>137</v>
      </c>
      <c r="C12" t="s">
        <v>139</v>
      </c>
      <c r="D12" t="s">
        <v>143</v>
      </c>
      <c r="E12" t="s">
        <v>154</v>
      </c>
      <c r="F12" t="s">
        <v>165</v>
      </c>
      <c r="G12">
        <v>60</v>
      </c>
      <c r="H12">
        <v>25</v>
      </c>
      <c r="I12">
        <v>120</v>
      </c>
      <c r="J12" t="s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109</v>
      </c>
      <c r="B1" s="1" t="s">
        <v>27</v>
      </c>
      <c r="C1" s="1" t="s">
        <v>112</v>
      </c>
      <c r="D1" s="1" t="s">
        <v>113</v>
      </c>
      <c r="E1" s="1" t="s">
        <v>187</v>
      </c>
      <c r="F1" s="1" t="s">
        <v>188</v>
      </c>
      <c r="G1" s="1" t="s">
        <v>65</v>
      </c>
    </row>
    <row r="2" spans="1:7" x14ac:dyDescent="0.2">
      <c r="A2" t="s">
        <v>140</v>
      </c>
      <c r="B2" t="s">
        <v>189</v>
      </c>
      <c r="C2" t="s">
        <v>193</v>
      </c>
      <c r="D2">
        <v>20</v>
      </c>
      <c r="E2">
        <v>1</v>
      </c>
      <c r="F2">
        <v>0.05</v>
      </c>
      <c r="G2" t="s">
        <v>197</v>
      </c>
    </row>
    <row r="3" spans="1:7" x14ac:dyDescent="0.2">
      <c r="A3" t="s">
        <v>141</v>
      </c>
      <c r="B3" t="s">
        <v>190</v>
      </c>
      <c r="C3" t="s">
        <v>194</v>
      </c>
      <c r="D3">
        <v>30</v>
      </c>
      <c r="E3">
        <v>1.5</v>
      </c>
      <c r="F3">
        <v>0.1</v>
      </c>
      <c r="G3" t="s">
        <v>198</v>
      </c>
    </row>
    <row r="4" spans="1:7" x14ac:dyDescent="0.2">
      <c r="A4" t="s">
        <v>142</v>
      </c>
      <c r="B4" t="s">
        <v>191</v>
      </c>
      <c r="C4" t="s">
        <v>195</v>
      </c>
      <c r="D4">
        <v>45</v>
      </c>
      <c r="E4">
        <v>2</v>
      </c>
      <c r="F4">
        <v>0.2</v>
      </c>
      <c r="G4" t="s">
        <v>199</v>
      </c>
    </row>
    <row r="5" spans="1:7" x14ac:dyDescent="0.2">
      <c r="A5" t="s">
        <v>139</v>
      </c>
      <c r="B5" t="s">
        <v>192</v>
      </c>
      <c r="C5" t="s">
        <v>196</v>
      </c>
      <c r="D5">
        <v>60</v>
      </c>
      <c r="E5">
        <v>3</v>
      </c>
      <c r="F5">
        <v>0.35</v>
      </c>
      <c r="G5" t="s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201</v>
      </c>
      <c r="B1" s="1" t="s">
        <v>27</v>
      </c>
      <c r="C1" s="1" t="s">
        <v>1</v>
      </c>
      <c r="D1" s="1" t="s">
        <v>202</v>
      </c>
      <c r="E1" s="1" t="s">
        <v>203</v>
      </c>
    </row>
    <row r="2" spans="1:5" x14ac:dyDescent="0.2">
      <c r="A2" t="s">
        <v>204</v>
      </c>
      <c r="B2" t="s">
        <v>208</v>
      </c>
      <c r="C2" t="s">
        <v>212</v>
      </c>
      <c r="D2" t="s">
        <v>216</v>
      </c>
      <c r="E2" t="s">
        <v>218</v>
      </c>
    </row>
    <row r="3" spans="1:5" x14ac:dyDescent="0.2">
      <c r="A3" t="s">
        <v>205</v>
      </c>
      <c r="B3" t="s">
        <v>209</v>
      </c>
      <c r="C3" t="s">
        <v>213</v>
      </c>
      <c r="D3" t="s">
        <v>217</v>
      </c>
      <c r="E3" t="s">
        <v>219</v>
      </c>
    </row>
    <row r="4" spans="1:5" x14ac:dyDescent="0.2">
      <c r="A4" t="s">
        <v>206</v>
      </c>
      <c r="B4" t="s">
        <v>210</v>
      </c>
      <c r="C4" t="s">
        <v>214</v>
      </c>
      <c r="D4" t="s">
        <v>217</v>
      </c>
      <c r="E4" t="s">
        <v>220</v>
      </c>
    </row>
    <row r="5" spans="1:5" x14ac:dyDescent="0.2">
      <c r="A5" t="s">
        <v>207</v>
      </c>
      <c r="B5" t="s">
        <v>211</v>
      </c>
      <c r="C5" t="s">
        <v>215</v>
      </c>
      <c r="D5" t="s">
        <v>216</v>
      </c>
      <c r="E5" t="s">
        <v>221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222</v>
      </c>
      <c r="B1" s="1" t="s">
        <v>223</v>
      </c>
    </row>
    <row r="2" spans="1:2" x14ac:dyDescent="0.2">
      <c r="A2" t="s">
        <v>81</v>
      </c>
      <c r="B2" t="s">
        <v>230</v>
      </c>
    </row>
    <row r="3" spans="1:2" x14ac:dyDescent="0.2">
      <c r="A3" t="s">
        <v>92</v>
      </c>
      <c r="B3" t="s">
        <v>231</v>
      </c>
    </row>
    <row r="4" spans="1:2" x14ac:dyDescent="0.2">
      <c r="A4" t="s">
        <v>224</v>
      </c>
      <c r="B4" t="s">
        <v>232</v>
      </c>
    </row>
    <row r="5" spans="1:2" x14ac:dyDescent="0.2">
      <c r="A5" t="s">
        <v>225</v>
      </c>
      <c r="B5" t="s">
        <v>233</v>
      </c>
    </row>
    <row r="6" spans="1:2" x14ac:dyDescent="0.2">
      <c r="A6" t="s">
        <v>226</v>
      </c>
      <c r="B6" t="s">
        <v>234</v>
      </c>
    </row>
    <row r="7" spans="1:2" x14ac:dyDescent="0.2">
      <c r="A7" t="s">
        <v>227</v>
      </c>
      <c r="B7" t="s">
        <v>235</v>
      </c>
    </row>
    <row r="8" spans="1:2" x14ac:dyDescent="0.2">
      <c r="A8" t="s">
        <v>228</v>
      </c>
      <c r="B8" t="s">
        <v>236</v>
      </c>
    </row>
    <row r="9" spans="1:2" x14ac:dyDescent="0.2">
      <c r="A9" t="s">
        <v>229</v>
      </c>
      <c r="B9" t="s">
        <v>237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238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</row>
    <row r="2" spans="1:9" x14ac:dyDescent="0.2">
      <c r="A2" t="s">
        <v>247</v>
      </c>
      <c r="B2" t="s">
        <v>258</v>
      </c>
      <c r="C2" t="s">
        <v>269</v>
      </c>
      <c r="D2" t="s">
        <v>280</v>
      </c>
      <c r="E2" t="s">
        <v>291</v>
      </c>
      <c r="F2" t="s">
        <v>302</v>
      </c>
      <c r="G2" t="s">
        <v>313</v>
      </c>
      <c r="H2" t="s">
        <v>324</v>
      </c>
      <c r="I2" t="s">
        <v>335</v>
      </c>
    </row>
    <row r="3" spans="1:9" x14ac:dyDescent="0.2">
      <c r="A3" t="s">
        <v>248</v>
      </c>
      <c r="B3" t="s">
        <v>259</v>
      </c>
      <c r="C3" t="s">
        <v>270</v>
      </c>
      <c r="D3" t="s">
        <v>281</v>
      </c>
      <c r="E3" t="s">
        <v>292</v>
      </c>
      <c r="F3" t="s">
        <v>303</v>
      </c>
      <c r="G3" t="s">
        <v>314</v>
      </c>
      <c r="H3" t="s">
        <v>325</v>
      </c>
      <c r="I3" t="s">
        <v>336</v>
      </c>
    </row>
    <row r="4" spans="1:9" x14ac:dyDescent="0.2">
      <c r="A4" t="s">
        <v>249</v>
      </c>
      <c r="B4" t="s">
        <v>260</v>
      </c>
      <c r="C4" t="s">
        <v>271</v>
      </c>
      <c r="D4" t="s">
        <v>282</v>
      </c>
      <c r="E4" t="s">
        <v>293</v>
      </c>
      <c r="F4" t="s">
        <v>304</v>
      </c>
      <c r="G4" t="s">
        <v>315</v>
      </c>
      <c r="H4" t="s">
        <v>326</v>
      </c>
      <c r="I4" t="s">
        <v>337</v>
      </c>
    </row>
    <row r="5" spans="1:9" x14ac:dyDescent="0.2">
      <c r="A5" t="s">
        <v>250</v>
      </c>
      <c r="B5" t="s">
        <v>261</v>
      </c>
      <c r="C5" t="s">
        <v>272</v>
      </c>
      <c r="D5" t="s">
        <v>283</v>
      </c>
      <c r="E5" t="s">
        <v>294</v>
      </c>
      <c r="F5" t="s">
        <v>305</v>
      </c>
      <c r="G5" t="s">
        <v>316</v>
      </c>
      <c r="H5" t="s">
        <v>327</v>
      </c>
      <c r="I5" t="s">
        <v>338</v>
      </c>
    </row>
    <row r="6" spans="1:9" x14ac:dyDescent="0.2">
      <c r="A6" t="s">
        <v>251</v>
      </c>
      <c r="B6" t="s">
        <v>262</v>
      </c>
      <c r="C6" t="s">
        <v>273</v>
      </c>
      <c r="D6" t="s">
        <v>284</v>
      </c>
      <c r="E6" t="s">
        <v>295</v>
      </c>
      <c r="F6" t="s">
        <v>306</v>
      </c>
      <c r="G6" t="s">
        <v>317</v>
      </c>
      <c r="H6" t="s">
        <v>328</v>
      </c>
      <c r="I6" t="s">
        <v>339</v>
      </c>
    </row>
    <row r="7" spans="1:9" x14ac:dyDescent="0.2">
      <c r="A7" t="s">
        <v>252</v>
      </c>
      <c r="B7" t="s">
        <v>263</v>
      </c>
      <c r="C7" t="s">
        <v>274</v>
      </c>
      <c r="D7" t="s">
        <v>285</v>
      </c>
      <c r="E7" t="s">
        <v>296</v>
      </c>
      <c r="F7" t="s">
        <v>307</v>
      </c>
      <c r="G7" t="s">
        <v>318</v>
      </c>
      <c r="H7" t="s">
        <v>329</v>
      </c>
      <c r="I7" t="s">
        <v>340</v>
      </c>
    </row>
    <row r="8" spans="1:9" x14ac:dyDescent="0.2">
      <c r="A8" t="s">
        <v>253</v>
      </c>
      <c r="B8" t="s">
        <v>264</v>
      </c>
      <c r="C8" t="s">
        <v>275</v>
      </c>
      <c r="D8" t="s">
        <v>286</v>
      </c>
      <c r="E8" t="s">
        <v>297</v>
      </c>
      <c r="F8" t="s">
        <v>308</v>
      </c>
      <c r="G8" t="s">
        <v>319</v>
      </c>
      <c r="H8" t="s">
        <v>330</v>
      </c>
      <c r="I8" t="s">
        <v>341</v>
      </c>
    </row>
    <row r="9" spans="1:9" x14ac:dyDescent="0.2">
      <c r="A9" t="s">
        <v>254</v>
      </c>
      <c r="B9" t="s">
        <v>265</v>
      </c>
      <c r="C9" t="s">
        <v>276</v>
      </c>
      <c r="D9" t="s">
        <v>287</v>
      </c>
      <c r="E9" t="s">
        <v>298</v>
      </c>
      <c r="F9" t="s">
        <v>309</v>
      </c>
      <c r="G9" t="s">
        <v>320</v>
      </c>
      <c r="H9" t="s">
        <v>331</v>
      </c>
      <c r="I9" t="s">
        <v>342</v>
      </c>
    </row>
    <row r="10" spans="1:9" x14ac:dyDescent="0.2">
      <c r="A10" t="s">
        <v>255</v>
      </c>
      <c r="B10" t="s">
        <v>266</v>
      </c>
      <c r="C10" t="s">
        <v>277</v>
      </c>
      <c r="D10" t="s">
        <v>288</v>
      </c>
      <c r="E10" t="s">
        <v>299</v>
      </c>
      <c r="F10" t="s">
        <v>310</v>
      </c>
      <c r="G10" t="s">
        <v>321</v>
      </c>
      <c r="H10" t="s">
        <v>332</v>
      </c>
      <c r="I10" t="s">
        <v>343</v>
      </c>
    </row>
    <row r="11" spans="1:9" x14ac:dyDescent="0.2">
      <c r="A11" t="s">
        <v>256</v>
      </c>
      <c r="B11" t="s">
        <v>267</v>
      </c>
      <c r="C11" t="s">
        <v>278</v>
      </c>
      <c r="D11" t="s">
        <v>289</v>
      </c>
      <c r="E11" t="s">
        <v>300</v>
      </c>
      <c r="F11" t="s">
        <v>311</v>
      </c>
      <c r="G11" t="s">
        <v>322</v>
      </c>
      <c r="H11" t="s">
        <v>333</v>
      </c>
      <c r="I11" t="s">
        <v>344</v>
      </c>
    </row>
    <row r="12" spans="1:9" x14ac:dyDescent="0.2">
      <c r="A12" t="s">
        <v>257</v>
      </c>
      <c r="B12" t="s">
        <v>268</v>
      </c>
      <c r="C12" t="s">
        <v>279</v>
      </c>
      <c r="D12" t="s">
        <v>290</v>
      </c>
      <c r="E12" t="s">
        <v>301</v>
      </c>
      <c r="F12" t="s">
        <v>312</v>
      </c>
      <c r="G12" t="s">
        <v>323</v>
      </c>
      <c r="H12" t="s">
        <v>334</v>
      </c>
      <c r="I12" t="s">
        <v>345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51</v>
      </c>
      <c r="B1" s="1" t="s">
        <v>1</v>
      </c>
    </row>
    <row r="2" spans="1:2" x14ac:dyDescent="0.2">
      <c r="A2" t="s">
        <v>4</v>
      </c>
      <c r="B2" t="s">
        <v>355</v>
      </c>
    </row>
    <row r="3" spans="1:2" x14ac:dyDescent="0.2">
      <c r="A3" t="s">
        <v>346</v>
      </c>
      <c r="B3" t="s">
        <v>356</v>
      </c>
    </row>
    <row r="4" spans="1:2" x14ac:dyDescent="0.2">
      <c r="A4" t="s">
        <v>347</v>
      </c>
      <c r="B4" t="s">
        <v>357</v>
      </c>
    </row>
    <row r="5" spans="1:2" x14ac:dyDescent="0.2">
      <c r="A5" t="s">
        <v>348</v>
      </c>
      <c r="B5" t="s">
        <v>358</v>
      </c>
    </row>
    <row r="6" spans="1:2" x14ac:dyDescent="0.2">
      <c r="A6" t="s">
        <v>349</v>
      </c>
      <c r="B6" t="s">
        <v>359</v>
      </c>
    </row>
    <row r="7" spans="1:2" x14ac:dyDescent="0.2">
      <c r="A7" t="s">
        <v>350</v>
      </c>
      <c r="B7" t="s">
        <v>360</v>
      </c>
    </row>
    <row r="8" spans="1:2" x14ac:dyDescent="0.2">
      <c r="A8" t="s">
        <v>351</v>
      </c>
      <c r="B8" t="s">
        <v>361</v>
      </c>
    </row>
    <row r="9" spans="1:2" x14ac:dyDescent="0.2">
      <c r="A9" t="s">
        <v>352</v>
      </c>
      <c r="B9" t="s">
        <v>362</v>
      </c>
    </row>
    <row r="10" spans="1:2" x14ac:dyDescent="0.2">
      <c r="A10" t="s">
        <v>353</v>
      </c>
      <c r="B10" t="s">
        <v>363</v>
      </c>
    </row>
    <row r="11" spans="1:2" x14ac:dyDescent="0.2">
      <c r="A11" t="s">
        <v>354</v>
      </c>
      <c r="B11" t="s">
        <v>364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365</v>
      </c>
      <c r="B1" s="1" t="s">
        <v>1</v>
      </c>
      <c r="C1" s="1" t="s">
        <v>366</v>
      </c>
      <c r="D1" s="1" t="s">
        <v>367</v>
      </c>
    </row>
    <row r="2" spans="1:4" x14ac:dyDescent="0.2">
      <c r="A2" t="s">
        <v>368</v>
      </c>
      <c r="B2" t="s">
        <v>369</v>
      </c>
      <c r="C2" t="s">
        <v>373</v>
      </c>
      <c r="D2" t="s">
        <v>377</v>
      </c>
    </row>
    <row r="3" spans="1:4" x14ac:dyDescent="0.2">
      <c r="A3" t="s">
        <v>91</v>
      </c>
      <c r="B3" t="s">
        <v>370</v>
      </c>
      <c r="C3" t="s">
        <v>374</v>
      </c>
      <c r="D3" t="s">
        <v>378</v>
      </c>
    </row>
    <row r="4" spans="1:4" x14ac:dyDescent="0.2">
      <c r="A4" t="s">
        <v>92</v>
      </c>
      <c r="B4" t="s">
        <v>371</v>
      </c>
      <c r="C4" t="s">
        <v>375</v>
      </c>
      <c r="D4" t="s">
        <v>379</v>
      </c>
    </row>
    <row r="5" spans="1:4" x14ac:dyDescent="0.2">
      <c r="A5" t="s">
        <v>90</v>
      </c>
      <c r="B5" t="s">
        <v>372</v>
      </c>
      <c r="C5" t="s">
        <v>376</v>
      </c>
      <c r="D5" t="s">
        <v>380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381</v>
      </c>
      <c r="B1" s="1" t="s">
        <v>382</v>
      </c>
      <c r="C1" s="1" t="s">
        <v>65</v>
      </c>
    </row>
    <row r="2" spans="1:3" x14ac:dyDescent="0.2">
      <c r="A2" t="s">
        <v>383</v>
      </c>
      <c r="B2">
        <v>0.5</v>
      </c>
      <c r="C2" t="s">
        <v>398</v>
      </c>
    </row>
    <row r="3" spans="1:3" x14ac:dyDescent="0.2">
      <c r="A3" t="s">
        <v>384</v>
      </c>
      <c r="B3">
        <v>1</v>
      </c>
      <c r="C3" t="s">
        <v>399</v>
      </c>
    </row>
    <row r="4" spans="1:3" x14ac:dyDescent="0.2">
      <c r="A4" t="s">
        <v>385</v>
      </c>
      <c r="B4">
        <v>3</v>
      </c>
      <c r="C4" t="s">
        <v>400</v>
      </c>
    </row>
    <row r="5" spans="1:3" x14ac:dyDescent="0.2">
      <c r="A5" t="s">
        <v>386</v>
      </c>
      <c r="B5">
        <v>2</v>
      </c>
      <c r="C5" t="s">
        <v>401</v>
      </c>
    </row>
    <row r="6" spans="1:3" x14ac:dyDescent="0.2">
      <c r="A6" t="s">
        <v>387</v>
      </c>
      <c r="B6">
        <v>8</v>
      </c>
      <c r="C6" t="s">
        <v>402</v>
      </c>
    </row>
    <row r="7" spans="1:3" x14ac:dyDescent="0.2">
      <c r="A7" t="s">
        <v>388</v>
      </c>
      <c r="B7">
        <v>3</v>
      </c>
      <c r="C7" t="s">
        <v>403</v>
      </c>
    </row>
    <row r="8" spans="1:3" x14ac:dyDescent="0.2">
      <c r="A8" t="s">
        <v>389</v>
      </c>
      <c r="B8">
        <v>0.8</v>
      </c>
      <c r="C8" t="s">
        <v>404</v>
      </c>
    </row>
    <row r="9" spans="1:3" x14ac:dyDescent="0.2">
      <c r="A9" t="s">
        <v>390</v>
      </c>
      <c r="B9">
        <v>1</v>
      </c>
      <c r="C9" t="s">
        <v>405</v>
      </c>
    </row>
    <row r="10" spans="1:3" x14ac:dyDescent="0.2">
      <c r="A10" t="s">
        <v>391</v>
      </c>
      <c r="B10">
        <v>1.5</v>
      </c>
      <c r="C10" t="s">
        <v>141</v>
      </c>
    </row>
    <row r="11" spans="1:3" x14ac:dyDescent="0.2">
      <c r="A11" t="s">
        <v>392</v>
      </c>
      <c r="B11">
        <v>2</v>
      </c>
      <c r="C11" t="s">
        <v>142</v>
      </c>
    </row>
    <row r="12" spans="1:3" x14ac:dyDescent="0.2">
      <c r="A12" t="s">
        <v>393</v>
      </c>
      <c r="B12">
        <v>3</v>
      </c>
      <c r="C12" t="s">
        <v>139</v>
      </c>
    </row>
    <row r="13" spans="1:3" x14ac:dyDescent="0.2">
      <c r="A13" t="s">
        <v>394</v>
      </c>
      <c r="B13">
        <v>0.02</v>
      </c>
      <c r="C13" t="s">
        <v>406</v>
      </c>
    </row>
    <row r="14" spans="1:3" x14ac:dyDescent="0.2">
      <c r="A14" t="s">
        <v>395</v>
      </c>
      <c r="B14">
        <v>0.06</v>
      </c>
      <c r="C14" t="s">
        <v>141</v>
      </c>
    </row>
    <row r="15" spans="1:3" x14ac:dyDescent="0.2">
      <c r="A15" t="s">
        <v>396</v>
      </c>
      <c r="B15">
        <v>0.12</v>
      </c>
      <c r="C15" t="s">
        <v>142</v>
      </c>
    </row>
    <row r="16" spans="1:3" x14ac:dyDescent="0.2">
      <c r="A16" t="s">
        <v>397</v>
      </c>
      <c r="B16">
        <v>0.2</v>
      </c>
      <c r="C16" t="s">
        <v>139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.6640625" customWidth="1"/>
    <col min="2" max="2" width="28.6640625" customWidth="1"/>
  </cols>
  <sheetData>
    <row r="1" spans="1:2" x14ac:dyDescent="0.2">
      <c r="A1" s="2" t="s">
        <v>88</v>
      </c>
      <c r="B1" s="2" t="s">
        <v>407</v>
      </c>
    </row>
    <row r="2" spans="1:2" x14ac:dyDescent="0.2">
      <c r="A2" t="s">
        <v>90</v>
      </c>
      <c r="B2">
        <v>0.5</v>
      </c>
    </row>
    <row r="3" spans="1:2" x14ac:dyDescent="0.2">
      <c r="A3" t="s">
        <v>91</v>
      </c>
      <c r="B3">
        <v>1</v>
      </c>
    </row>
    <row r="4" spans="1:2" x14ac:dyDescent="0.2">
      <c r="A4" t="s">
        <v>92</v>
      </c>
      <c r="B4">
        <v>3</v>
      </c>
    </row>
    <row r="5" spans="1:2" x14ac:dyDescent="0.2">
      <c r="A5" t="s">
        <v>71</v>
      </c>
      <c r="B5">
        <f>External_Links!B2</f>
        <v>2</v>
      </c>
    </row>
    <row r="6" spans="1:2" x14ac:dyDescent="0.2">
      <c r="A6" t="s">
        <v>72</v>
      </c>
      <c r="B6">
        <f>External_Links!B3</f>
        <v>3</v>
      </c>
    </row>
    <row r="7" spans="1:2" x14ac:dyDescent="0.2">
      <c r="A7" t="s">
        <v>73</v>
      </c>
      <c r="B7">
        <f>External_Links!B4</f>
        <v>4</v>
      </c>
    </row>
    <row r="8" spans="1:2" x14ac:dyDescent="0.2">
      <c r="A8" t="s">
        <v>74</v>
      </c>
      <c r="B8">
        <f>External_Links!B5</f>
        <v>4</v>
      </c>
    </row>
    <row r="9" spans="1:2" x14ac:dyDescent="0.2">
      <c r="A9" t="s">
        <v>75</v>
      </c>
      <c r="B9">
        <f>External_Links!B6</f>
        <v>10</v>
      </c>
    </row>
    <row r="10" spans="1:2" x14ac:dyDescent="0.2">
      <c r="A10" t="s">
        <v>408</v>
      </c>
      <c r="B10">
        <f>External_Links!B7</f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2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108</v>
      </c>
      <c r="B1" s="1" t="s">
        <v>27</v>
      </c>
      <c r="C1" s="1" t="s">
        <v>109</v>
      </c>
      <c r="D1" s="1" t="s">
        <v>409</v>
      </c>
      <c r="E1" s="1" t="s">
        <v>113</v>
      </c>
      <c r="F1" s="1" t="s">
        <v>114</v>
      </c>
      <c r="G1" s="1" t="s">
        <v>115</v>
      </c>
      <c r="H1" s="1" t="s">
        <v>410</v>
      </c>
      <c r="I1" s="1" t="s">
        <v>411</v>
      </c>
      <c r="J1" s="1" t="s">
        <v>412</v>
      </c>
      <c r="K1" s="1" t="s">
        <v>413</v>
      </c>
      <c r="L1" s="1" t="s">
        <v>65</v>
      </c>
    </row>
    <row r="2" spans="1:12" x14ac:dyDescent="0.2">
      <c r="A2" t="s">
        <v>116</v>
      </c>
      <c r="B2" t="s">
        <v>127</v>
      </c>
      <c r="C2" t="s">
        <v>140</v>
      </c>
      <c r="D2" t="s">
        <v>166</v>
      </c>
      <c r="E2">
        <v>20</v>
      </c>
      <c r="F2">
        <v>0</v>
      </c>
      <c r="G2">
        <v>0</v>
      </c>
      <c r="H2">
        <v>2.5</v>
      </c>
      <c r="I2">
        <v>0</v>
      </c>
      <c r="J2">
        <v>0.2181818181818182</v>
      </c>
      <c r="K2">
        <v>-2.5</v>
      </c>
      <c r="L2" t="s">
        <v>415</v>
      </c>
    </row>
    <row r="3" spans="1:12" x14ac:dyDescent="0.2">
      <c r="A3" t="s">
        <v>117</v>
      </c>
      <c r="B3" t="s">
        <v>128</v>
      </c>
      <c r="C3" t="s">
        <v>140</v>
      </c>
      <c r="D3" t="s">
        <v>167</v>
      </c>
      <c r="E3">
        <v>25</v>
      </c>
      <c r="F3">
        <v>0</v>
      </c>
      <c r="G3">
        <v>0</v>
      </c>
      <c r="H3">
        <v>3.5</v>
      </c>
      <c r="I3">
        <v>0</v>
      </c>
      <c r="J3">
        <v>0.2181818181818182</v>
      </c>
      <c r="K3">
        <v>-3.5</v>
      </c>
      <c r="L3" t="s">
        <v>415</v>
      </c>
    </row>
    <row r="4" spans="1:12" x14ac:dyDescent="0.2">
      <c r="A4" t="s">
        <v>118</v>
      </c>
      <c r="B4" t="s">
        <v>129</v>
      </c>
      <c r="C4" t="s">
        <v>141</v>
      </c>
      <c r="D4" t="s">
        <v>168</v>
      </c>
      <c r="E4">
        <v>30</v>
      </c>
      <c r="F4">
        <v>60</v>
      </c>
      <c r="G4">
        <v>60</v>
      </c>
      <c r="H4">
        <v>3.5</v>
      </c>
      <c r="I4">
        <v>90</v>
      </c>
      <c r="J4">
        <v>0.2181818181818182</v>
      </c>
      <c r="K4">
        <v>86.5</v>
      </c>
      <c r="L4" t="s">
        <v>415</v>
      </c>
    </row>
    <row r="5" spans="1:12" x14ac:dyDescent="0.2">
      <c r="A5" t="s">
        <v>119</v>
      </c>
      <c r="B5" t="s">
        <v>130</v>
      </c>
      <c r="C5" t="s">
        <v>142</v>
      </c>
      <c r="D5" t="s">
        <v>169</v>
      </c>
      <c r="E5">
        <v>45</v>
      </c>
      <c r="F5">
        <v>30</v>
      </c>
      <c r="G5">
        <v>90</v>
      </c>
      <c r="H5">
        <v>6.5</v>
      </c>
      <c r="I5">
        <v>60</v>
      </c>
      <c r="J5">
        <v>0.2181818181818182</v>
      </c>
      <c r="K5">
        <v>53.5</v>
      </c>
      <c r="L5" t="s">
        <v>415</v>
      </c>
    </row>
    <row r="6" spans="1:12" x14ac:dyDescent="0.2">
      <c r="A6" t="s">
        <v>120</v>
      </c>
      <c r="B6" t="s">
        <v>131</v>
      </c>
      <c r="C6" t="s">
        <v>140</v>
      </c>
      <c r="D6" t="s">
        <v>170</v>
      </c>
      <c r="E6">
        <v>20</v>
      </c>
      <c r="F6">
        <v>20</v>
      </c>
      <c r="G6">
        <v>40</v>
      </c>
      <c r="H6">
        <v>2.5</v>
      </c>
      <c r="I6">
        <v>20</v>
      </c>
      <c r="J6">
        <v>0.2181818181818182</v>
      </c>
      <c r="K6">
        <v>17.5</v>
      </c>
      <c r="L6" t="s">
        <v>415</v>
      </c>
    </row>
    <row r="7" spans="1:12" x14ac:dyDescent="0.2">
      <c r="A7" t="s">
        <v>121</v>
      </c>
      <c r="B7" t="s">
        <v>132</v>
      </c>
      <c r="C7" t="s">
        <v>141</v>
      </c>
      <c r="D7" t="s">
        <v>171</v>
      </c>
      <c r="E7">
        <v>30</v>
      </c>
      <c r="F7">
        <v>30</v>
      </c>
      <c r="G7">
        <v>60</v>
      </c>
      <c r="H7">
        <v>3.5</v>
      </c>
      <c r="I7">
        <v>45</v>
      </c>
      <c r="J7">
        <v>0.2181818181818182</v>
      </c>
      <c r="K7">
        <v>41.5</v>
      </c>
      <c r="L7" t="s">
        <v>415</v>
      </c>
    </row>
    <row r="8" spans="1:12" x14ac:dyDescent="0.2">
      <c r="A8" t="s">
        <v>122</v>
      </c>
      <c r="B8" t="s">
        <v>133</v>
      </c>
      <c r="C8" t="s">
        <v>141</v>
      </c>
      <c r="D8" t="s">
        <v>172</v>
      </c>
      <c r="E8">
        <v>35</v>
      </c>
      <c r="F8">
        <v>30</v>
      </c>
      <c r="G8">
        <v>90</v>
      </c>
      <c r="H8">
        <v>3.5</v>
      </c>
      <c r="I8">
        <v>45</v>
      </c>
      <c r="J8">
        <v>0.2181818181818182</v>
      </c>
      <c r="K8">
        <v>41.5</v>
      </c>
      <c r="L8" t="s">
        <v>415</v>
      </c>
    </row>
    <row r="9" spans="1:12" x14ac:dyDescent="0.2">
      <c r="A9" t="s">
        <v>123</v>
      </c>
      <c r="B9" t="s">
        <v>134</v>
      </c>
      <c r="C9" t="s">
        <v>142</v>
      </c>
      <c r="D9" t="s">
        <v>173</v>
      </c>
      <c r="E9">
        <v>40</v>
      </c>
      <c r="F9">
        <v>20</v>
      </c>
      <c r="G9">
        <v>75</v>
      </c>
      <c r="H9">
        <v>6.5</v>
      </c>
      <c r="I9">
        <v>40</v>
      </c>
      <c r="J9">
        <v>0.2181818181818182</v>
      </c>
      <c r="K9">
        <v>33.5</v>
      </c>
      <c r="L9" t="s">
        <v>415</v>
      </c>
    </row>
    <row r="10" spans="1:12" x14ac:dyDescent="0.2">
      <c r="A10" t="s">
        <v>124</v>
      </c>
      <c r="B10" t="s">
        <v>135</v>
      </c>
      <c r="C10" t="s">
        <v>140</v>
      </c>
      <c r="D10" t="s">
        <v>174</v>
      </c>
      <c r="E10">
        <v>25</v>
      </c>
      <c r="F10">
        <v>0</v>
      </c>
      <c r="G10">
        <v>0</v>
      </c>
      <c r="H10">
        <v>2.5</v>
      </c>
      <c r="I10">
        <v>0</v>
      </c>
      <c r="J10">
        <v>0.2181818181818182</v>
      </c>
      <c r="K10">
        <v>-2.5</v>
      </c>
      <c r="L10" t="s">
        <v>415</v>
      </c>
    </row>
    <row r="11" spans="1:12" x14ac:dyDescent="0.2">
      <c r="A11" t="s">
        <v>125</v>
      </c>
      <c r="B11" t="s">
        <v>136</v>
      </c>
      <c r="C11" t="s">
        <v>142</v>
      </c>
      <c r="D11" t="s">
        <v>175</v>
      </c>
      <c r="E11">
        <v>45</v>
      </c>
      <c r="F11">
        <v>0</v>
      </c>
      <c r="G11">
        <v>0</v>
      </c>
      <c r="H11">
        <v>5.5</v>
      </c>
      <c r="I11">
        <v>0</v>
      </c>
      <c r="J11">
        <v>0.2181818181818182</v>
      </c>
      <c r="K11">
        <v>-5.5</v>
      </c>
      <c r="L11" t="s">
        <v>415</v>
      </c>
    </row>
    <row r="12" spans="1:12" x14ac:dyDescent="0.2">
      <c r="A12" t="s">
        <v>126</v>
      </c>
      <c r="B12" t="s">
        <v>137</v>
      </c>
      <c r="C12" t="s">
        <v>143</v>
      </c>
      <c r="D12" t="s">
        <v>414</v>
      </c>
      <c r="E12">
        <v>25</v>
      </c>
      <c r="F12">
        <v>120</v>
      </c>
      <c r="G12" t="s">
        <v>176</v>
      </c>
      <c r="H12">
        <v>0</v>
      </c>
      <c r="I12">
        <v>120</v>
      </c>
      <c r="J12">
        <v>0.2181818181818182</v>
      </c>
      <c r="K12">
        <v>120</v>
      </c>
      <c r="L12" t="s">
        <v>415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40.6640625" customWidth="1"/>
    <col min="2" max="2" width="100.6640625" customWidth="1"/>
    <col min="3" max="3" width="60.6640625" customWidth="1"/>
  </cols>
  <sheetData>
    <row r="1" spans="1:3" x14ac:dyDescent="0.2">
      <c r="A1" s="2" t="s">
        <v>416</v>
      </c>
      <c r="B1" s="2" t="s">
        <v>417</v>
      </c>
      <c r="C1" s="2" t="s">
        <v>65</v>
      </c>
    </row>
    <row r="2" spans="1:3" x14ac:dyDescent="0.2">
      <c r="A2" t="s">
        <v>418</v>
      </c>
      <c r="B2" cm="1">
        <f t="array" ref="B2">_xlfn.XLOOKUP("OUT_WHISPERBLOOM_FLOWER",[1]Garden_Outputs!$A:$A,[1]Garden_Outputs!$H:$H,2)</f>
        <v>2</v>
      </c>
      <c r="C2" t="s">
        <v>424</v>
      </c>
    </row>
    <row r="3" spans="1:3" x14ac:dyDescent="0.2">
      <c r="A3" t="s">
        <v>419</v>
      </c>
      <c r="B3" cm="1">
        <f t="array" ref="B3">_xlfn.XLOOKUP("OUT_MIRTHPETAL_BUNDLE",[1]Garden_Outputs!$A:$A,[1]Garden_Outputs!$H:$H,2)</f>
        <v>3</v>
      </c>
      <c r="C3" t="s">
        <v>425</v>
      </c>
    </row>
    <row r="4" spans="1:3" x14ac:dyDescent="0.2">
      <c r="A4" t="s">
        <v>420</v>
      </c>
      <c r="B4" cm="1">
        <f t="array" ref="B4">_xlfn.XLOOKUP("OUT_GRIEFROOT_THORNS",[1]Garden_Outputs!$A:$A,[1]Garden_Outputs!$H:$H,2)</f>
        <v>4</v>
      </c>
      <c r="C4" t="s">
        <v>426</v>
      </c>
    </row>
    <row r="5" spans="1:3" x14ac:dyDescent="0.2">
      <c r="A5" t="s">
        <v>421</v>
      </c>
      <c r="B5" cm="1">
        <f t="array" ref="B5">_xlfn.XLOOKUP("OUT_LAMENT_NECTAR",[1]Garden_Outputs!$A:$A,[1]Garden_Outputs!$H:$H,2)</f>
        <v>4</v>
      </c>
      <c r="C5" t="s">
        <v>427</v>
      </c>
    </row>
    <row r="6" spans="1:3" x14ac:dyDescent="0.2">
      <c r="A6" t="s">
        <v>422</v>
      </c>
      <c r="B6" cm="1">
        <f t="array" ref="B6">_xlfn.XLOOKUP("OUT_WRAITH_RESIN",[1]Garden_Outputs!$A:$A,[1]Garden_Outputs!$H:$H,2)</f>
        <v>10</v>
      </c>
      <c r="C6" t="s">
        <v>428</v>
      </c>
    </row>
    <row r="7" spans="1:3" x14ac:dyDescent="0.2">
      <c r="A7" t="s">
        <v>423</v>
      </c>
      <c r="B7" cm="1">
        <f t="array" ref="B7">_xlfn.XLOOKUP("OUT_ASH_SHARD",[1]Garden_Outputs!$A:$A,[1]Garden_Outputs!$H:$H,2)</f>
        <v>8</v>
      </c>
      <c r="C7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Core_Loop</vt:lpstr>
      <vt:lpstr>Alchemy_Table</vt:lpstr>
      <vt:lpstr>Herb_Families</vt:lpstr>
      <vt:lpstr>Ingredients</vt:lpstr>
      <vt:lpstr>Potion_Catalog</vt:lpstr>
      <vt:lpstr>Rarity_Crafting</vt:lpstr>
      <vt:lpstr>Side_Effects</vt:lpstr>
      <vt:lpstr>Interactions</vt:lpstr>
      <vt:lpstr>Hooks</vt:lpstr>
      <vt:lpstr>OnRun_AlchemyRooms</vt:lpstr>
      <vt:lpstr>Resource_Summary</vt:lpstr>
      <vt:lpstr>Metrics_Globals</vt:lpstr>
      <vt:lpstr>Ingredient_Costs</vt:lpstr>
      <vt:lpstr>Computed_Metrics</vt:lpstr>
      <vt:lpstr>External_Links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Brandon Thompson</cp:lastModifiedBy>
  <dcterms:created xsi:type="dcterms:W3CDTF">2025-10-31T20:54:52Z</dcterms:created>
  <dcterms:modified xsi:type="dcterms:W3CDTF">2025-10-31T20:58:01Z</dcterms:modified>
</cp:coreProperties>
</file>