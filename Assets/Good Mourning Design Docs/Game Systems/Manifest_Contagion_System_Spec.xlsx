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1F7A944F-8E67-C846-909B-99B9A23D5F3C}" xr6:coauthVersionLast="47" xr6:coauthVersionMax="47" xr10:uidLastSave="{00000000-0000-0000-0000-000000000000}"/>
  <bookViews>
    <workbookView xWindow="240" yWindow="760" windowWidth="30000" windowHeight="17200" activeTab="9" xr2:uid="{00000000-000D-0000-FFFF-FFFF00000000}"/>
  </bookViews>
  <sheets>
    <sheet name="Overview" sheetId="1" r:id="rId1"/>
    <sheet name="Core_Flow" sheetId="2" r:id="rId2"/>
    <sheet name="Leak_Thresholds" sheetId="3" r:id="rId3"/>
    <sheet name="Ecto_Spawn_Rules" sheetId="4" r:id="rId4"/>
    <sheet name="Contagion_Model" sheetId="5" r:id="rId5"/>
    <sheet name="Rot_Events" sheetId="6" r:id="rId6"/>
    <sheet name="Night_Surges" sheetId="7" r:id="rId7"/>
    <sheet name="Cleanup_Rewards" sheetId="8" r:id="rId8"/>
    <sheet name="Interactions" sheetId="9" r:id="rId9"/>
    <sheet name="Hooks" sheetId="10" r:id="rId10"/>
    <sheet name="Tuning_Defaults" sheetId="11" r:id="rId11"/>
    <sheet name="External_Links" sheetId="12" r:id="rId12"/>
    <sheet name="Computed_Metrics" sheetId="13" r:id="rId13"/>
    <sheet name="Visuals_FX" sheetId="14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3" l="1"/>
  <c r="B4" i="13"/>
  <c r="B3" i="13"/>
  <c r="B2" i="13"/>
  <c r="B3" i="12" a="1"/>
  <c r="B3" i="12" s="1"/>
  <c r="B2" i="12" a="1"/>
  <c r="B2" i="12" s="1"/>
  <c r="B5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<sst xmlns="http://schemas.openxmlformats.org/spreadsheetml/2006/main" count="316" uniqueCount="288">
  <si>
    <t>Field</t>
  </si>
  <si>
    <t>Description</t>
  </si>
  <si>
    <t>System Name</t>
  </si>
  <si>
    <t>Tagline</t>
  </si>
  <si>
    <t>Purpose</t>
  </si>
  <si>
    <t>One‑line Summary</t>
  </si>
  <si>
    <t>Core Loop</t>
  </si>
  <si>
    <t>Key Systems Touched</t>
  </si>
  <si>
    <t>Out of Scope (v1)</t>
  </si>
  <si>
    <t>Success Criteria</t>
  </si>
  <si>
    <t>Author</t>
  </si>
  <si>
    <t>Version</t>
  </si>
  <si>
    <t>Last Updated</t>
  </si>
  <si>
    <t>Manifest &amp; Contagion System</t>
  </si>
  <si>
    <t>When emotions leak, the world gets sticky.</t>
  </si>
  <si>
    <t>Model the consequences of low Contentment and neglect as visible, gameable events: leaks, spread, rot, and nightly surges—balanced by satisfying cleanup loops.</t>
  </si>
  <si>
    <t>Low Contentment or stress causes spirits to Manifest (leak ectoplasm), which spreads mood decay in a radius until cleaned; overuse of fertilizer or neglect can turn to Rot; nights are riskier.</t>
  </si>
  <si>
    <t>Warn (low mood) → Leak (Manifest) → Spread (Contagion) → Decide (clean vs. triage) → Reward (ecto/boost) → Stabilize (rituals/lanterns).</t>
  </si>
  <si>
    <t>Contentment, Appetite, Garden (fertilizer), Potions (remedies), Rituals (Cleansing), Tasks (Janitor), Lighting/Lanterns, Afflictions, Requests.</t>
  </si>
  <si>
    <t>Complex fluid simulation, physics goop chains, multi-layer disease trees.</t>
  </si>
  <si>
    <t>• Leaks feel legible and fair • Cleanup is satisfying and worth it • Spread is dangerous but controllable • Nightly surges add tension without frustration</t>
  </si>
  <si>
    <t>Brandon (Caretaker Designer)</t>
  </si>
  <si>
    <t>1.0</t>
  </si>
  <si>
    <t>2025-11-01 03:08 UTC</t>
  </si>
  <si>
    <t>Phase</t>
  </si>
  <si>
    <t>Name</t>
  </si>
  <si>
    <t>What Happens</t>
  </si>
  <si>
    <t>Rules</t>
  </si>
  <si>
    <t>UX Cues</t>
  </si>
  <si>
    <t>Warn</t>
  </si>
  <si>
    <t>Leak (Manifest)</t>
  </si>
  <si>
    <t>Spread (Contagion)</t>
  </si>
  <si>
    <t>Decide</t>
  </si>
  <si>
    <t>Reward</t>
  </si>
  <si>
    <t>Stabilize</t>
  </si>
  <si>
    <t>Ghost dips toward threshold; UI shows low mood spark.</t>
  </si>
  <si>
    <t>Ghost leaks ectoplasm; puddle spawns at feet.</t>
  </si>
  <si>
    <t>Nearby ghosts lose Contentment/second.</t>
  </si>
  <si>
    <t>Assign Janitor / clean yourself / ignore.</t>
  </si>
  <si>
    <t>Cleanup yields Ectoplasm + small Contentment pulse.</t>
  </si>
  <si>
    <t>Lanterns, rituals, rest break the chain.</t>
  </si>
  <si>
    <t>Contentment &lt; WarnThreshold; escalate barks/FX.</t>
  </si>
  <si>
    <t>Contentment &lt; LeakThreshold OR Panic event.</t>
  </si>
  <si>
    <t>Radius, magnitude, polarity (negative).</t>
  </si>
  <si>
    <t>Cleanup ROI vs. time; triage during surges.</t>
  </si>
  <si>
    <t>Fertilizer or potion input; mood reward scales with speed.</t>
  </si>
  <si>
    <t>Lantern radius reduces spread; Cleansing clears Rot.</t>
  </si>
  <si>
    <t>HUD icon over ghost + soft beep.</t>
  </si>
  <si>
    <t>Splat VFX; wet SFX; on-map ping.</t>
  </si>
  <si>
    <t>Subtle ring on ground; tooltip shows -/s.</t>
  </si>
  <si>
    <t>Task toast; 'press to mop' prompt.</t>
  </si>
  <si>
    <t>Pickup + toast; faint cheer SFX.</t>
  </si>
  <si>
    <t>Glow from light; chime from ritual.</t>
  </si>
  <si>
    <t>Parameter</t>
  </si>
  <si>
    <t>Default</t>
  </si>
  <si>
    <t>Notes</t>
  </si>
  <si>
    <t>WarnThreshold</t>
  </si>
  <si>
    <t>LeakThreshold</t>
  </si>
  <si>
    <t>LeakRoll_PerMin</t>
  </si>
  <si>
    <t>LeakCooldown_Sec</t>
  </si>
  <si>
    <t>Panic_Leak_Bonus</t>
  </si>
  <si>
    <t>Contentment fraction (0–1) to show pre-leak warning.</t>
  </si>
  <si>
    <t>Below this, roll leak per minute based on temperament &amp; fatigue.</t>
  </si>
  <si>
    <t>Base chance per minute when under threshold (× temperament).</t>
  </si>
  <si>
    <t>Minimum time between leaks per ghost.</t>
  </si>
  <si>
    <t>Extra chance when in 'panic' (Anxious idle, Unrest nearby).</t>
  </si>
  <si>
    <t>Rule</t>
  </si>
  <si>
    <t>Puddle_Min</t>
  </si>
  <si>
    <t>Puddle_Max</t>
  </si>
  <si>
    <t>Puddle_Lifetime_Sec</t>
  </si>
  <si>
    <t>Puddle_To_Rot_Time_Sec</t>
  </si>
  <si>
    <t>Puddle_Slip_Risk</t>
  </si>
  <si>
    <t>Minimum puddles per leak event.</t>
  </si>
  <si>
    <t>Maximum puddles per leak event.</t>
  </si>
  <si>
    <t>Puddle despawns if uncleaned (or turns to Rot).</t>
  </si>
  <si>
    <t>After this lifetime, rolls Rot conversion (if not cleaned).</t>
  </si>
  <si>
    <t>Optional slip hazard chance (currently off).</t>
  </si>
  <si>
    <t>BaseRadius_M</t>
  </si>
  <si>
    <t>BaseMagnitude_perMin</t>
  </si>
  <si>
    <t>Falloff_Type</t>
  </si>
  <si>
    <t>Falloff_To</t>
  </si>
  <si>
    <t>Stack_Cap</t>
  </si>
  <si>
    <t>Light_Dampening</t>
  </si>
  <si>
    <t>Charm_Dampening</t>
  </si>
  <si>
    <t>Garden_Boost</t>
  </si>
  <si>
    <t>Linear</t>
  </si>
  <si>
    <t>Default contagion radius from a puddle source.</t>
  </si>
  <si>
    <t>Contentment change per minute at center.</t>
  </si>
  <si>
    <t>Linear or SmoothStep; configurable.</t>
  </si>
  <si>
    <t>Magnitude at edge = Base * Falloff_To.</t>
  </si>
  <si>
    <t>Max puddles that stack on a ghost (prevent runaway).</t>
  </si>
  <si>
    <t>Inside lantern radius: contagion magnitude × this.</t>
  </si>
  <si>
    <t>Calm charm etc. applies multiplicative dampening.</t>
  </si>
  <si>
    <t>Standing on healthy bloom reduces magnitude (less negative).</t>
  </si>
  <si>
    <t>Rot_Conversion_Chance</t>
  </si>
  <si>
    <t>Rot_Check_Period_Sec</t>
  </si>
  <si>
    <t>Rot_Contagion_Mult</t>
  </si>
  <si>
    <t>Rot_Spread_Chain</t>
  </si>
  <si>
    <t>Rot_Cleansing_Reward</t>
  </si>
  <si>
    <t>Chance a stale puddle converts to Rot per check.</t>
  </si>
  <si>
    <t>How often to check stagnated puddles for Rot.</t>
  </si>
  <si>
    <t>Rot puddles are nastier: contagion magnitude × this.</t>
  </si>
  <si>
    <t>Chance Rot creates a new neighbor rot after long neglect.</t>
  </si>
  <si>
    <t>Extra Contentment pulse for cleaning Rot (harder job).</t>
  </si>
  <si>
    <t>Night_Surge_Time_Start</t>
  </si>
  <si>
    <t>Night_Surge_Time_End</t>
  </si>
  <si>
    <t>Night_Leak_Mult</t>
  </si>
  <si>
    <t>Night_Contagion_Mult</t>
  </si>
  <si>
    <t>Lantern_Boost_Night</t>
  </si>
  <si>
    <t>Surge starts at 20:00 in-game time.</t>
  </si>
  <si>
    <t>Ends at 05:00 in-game time.</t>
  </si>
  <si>
    <t>Leak chance multiplier at night.</t>
  </si>
  <si>
    <t>Contagion magnitude multiplier at night.</t>
  </si>
  <si>
    <t>Lantern dampening is stronger at night (lower=better).</t>
  </si>
  <si>
    <t>Ecto_Yield_Min</t>
  </si>
  <si>
    <t>Ecto_Yield_Max</t>
  </si>
  <si>
    <t>Clean_Grace_Chance</t>
  </si>
  <si>
    <t>Clean_Bonus_Window_Sec</t>
  </si>
  <si>
    <t>Clean_Bonus_Contentment</t>
  </si>
  <si>
    <t>Min Ectoplasm from cleaning a puddle.</t>
  </si>
  <si>
    <t>Max Ectoplasm from cleaning a puddle.</t>
  </si>
  <si>
    <t>Small chance to grant +1 Grace on timely cleanup.</t>
  </si>
  <si>
    <t>Within this window of spawn, grant bigger reward.</t>
  </si>
  <si>
    <t>Contentment points given if cleaned within bonus window.</t>
  </si>
  <si>
    <t>System</t>
  </si>
  <si>
    <t>Interaction</t>
  </si>
  <si>
    <t>Contentment</t>
  </si>
  <si>
    <t>Appetite</t>
  </si>
  <si>
    <t>Garden of Rest</t>
  </si>
  <si>
    <t>Potions</t>
  </si>
  <si>
    <t>Rituals</t>
  </si>
  <si>
    <t>Tasks</t>
  </si>
  <si>
    <t>Lighting</t>
  </si>
  <si>
    <t>Afflictions</t>
  </si>
  <si>
    <t>Drives leak rolls; is drained by contagion; gets pulses on cleanup.</t>
  </si>
  <si>
    <t>Low Appetite accelerates decay; can indirectly cause leaks.</t>
  </si>
  <si>
    <t>Ectoplasm fertilizes plants; overuse risks Rot; Lament Lily reduces Flicker.</t>
  </si>
  <si>
    <t>Remedy Flask cures leaks; Anti-Rot Serum reduces Rot rolls; Ward Flask mitigates hits during surges.</t>
  </si>
  <si>
    <t>Cleansing Wake clears leaks/Rot; Festival reduces contagion nightly.</t>
  </si>
  <si>
    <t>Janitor cleans; Caretaker soothes; Sentinel reduces night surges.</t>
  </si>
  <si>
    <t>Lantern radius dampens contagion; Night lanterns are stronger.</t>
  </si>
  <si>
    <t>Echo Fever, Hollow Rot tie into neglect; Warded Chamber cures.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</si>
  <si>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</si>
  <si>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</si>
  <si>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</si>
  <si>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</si>
  <si>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</si>
  <si>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</si>
  <si>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</si>
  <si>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</si>
  <si>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</si>
  <si>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HK_ContentmentAgent</t>
  </si>
  <si>
    <t>HK_ManifestEmitter</t>
  </si>
  <si>
    <t>HK_ContagionEmitter</t>
  </si>
  <si>
    <t>HK_Cleanup</t>
  </si>
  <si>
    <t>HK_RotManager</t>
  </si>
  <si>
    <t>HK_LightDampener</t>
  </si>
  <si>
    <t>Per-ghost mood state &amp; decay</t>
  </si>
  <si>
    <t>Leak spawner on ghosts</t>
  </si>
  <si>
    <t>AOE contagion from puddles</t>
  </si>
  <si>
    <t>Player/Janitor cleanup</t>
  </si>
  <si>
    <t>Rot conversions and events</t>
  </si>
  <si>
    <t>Lantern calm zones</t>
  </si>
  <si>
    <t>KD.Mood.ContentmentAgent</t>
  </si>
  <si>
    <t>KD.Manifest.ManifestEmitter</t>
  </si>
  <si>
    <t>KD.Mood.ContagionEmitter</t>
  </si>
  <si>
    <t>KD.Manifest.Cleanup</t>
  </si>
  <si>
    <t>KD.Manifest.RotManager</t>
  </si>
  <si>
    <t>KD.World.LanternAura</t>
  </si>
  <si>
    <t>contentment, decayMult, lastChange</t>
  </si>
  <si>
    <t>thresholds{}, cooldown, puddlePrefab</t>
  </si>
  <si>
    <t>radius, magnitude, falloff, caps</t>
  </si>
  <si>
    <t>cleanTime, rewardRange, bonusWindow</t>
  </si>
  <si>
    <t>rotChance, checkPeriod, spreadChain</t>
  </si>
  <si>
    <t>radius, dampeningDay, dampeningNight</t>
  </si>
  <si>
    <t>OnContentmentChanged, OnBelowThreshold</t>
  </si>
  <si>
    <t>OnLeakRoll, OnLeakSpawn</t>
  </si>
  <si>
    <t>OnTick</t>
  </si>
  <si>
    <t>OnCleanStart, OnCleanComplete</t>
  </si>
  <si>
    <t>OnRotTick</t>
  </si>
  <si>
    <t>OnEnterLight, OnExitLight</t>
  </si>
  <si>
    <t>Time, events</t>
  </si>
  <si>
    <t>Mood threshold/panic</t>
  </si>
  <si>
    <t>Game tick</t>
  </si>
  <si>
    <t>Interact/Task</t>
  </si>
  <si>
    <t>Timer</t>
  </si>
  <si>
    <t>Player place/upgrade</t>
  </si>
  <si>
    <t>Emit: MoodChanged</t>
  </si>
  <si>
    <t>Emit: EctoSpawned</t>
  </si>
  <si>
    <t>Emit: MoodDelta</t>
  </si>
  <si>
    <t>Emit: Cleaned(+ecto, +mood)</t>
  </si>
  <si>
    <t>Emit: RotSpawn, RotCleared</t>
  </si>
  <si>
    <t>Emit: AuraActive</t>
  </si>
  <si>
    <t>UI_MoodBar</t>
  </si>
  <si>
    <t>PF_EctoplasmPuddle</t>
  </si>
  <si>
    <t>VFX_Ring, Collider</t>
  </si>
  <si>
    <t>UI_ProgressRing</t>
  </si>
  <si>
    <t>VFX_Rot, Decals</t>
  </si>
  <si>
    <t>PF_Lantern, VFX_Glow</t>
  </si>
  <si>
    <t>Feeds leak/cleanup logic.</t>
  </si>
  <si>
    <t>Single source of truth for leaks.</t>
  </si>
  <si>
    <t>Optimized pooling + falloff curve.</t>
  </si>
  <si>
    <t>Grants ecto &amp; mood pulses.</t>
  </si>
  <si>
    <t>Controls nastier spread.</t>
  </si>
  <si>
    <t>Dampens contagion; stronger at night.</t>
  </si>
  <si>
    <t>Min</t>
  </si>
  <si>
    <t>Max</t>
  </si>
  <si>
    <t>warn_threshold</t>
  </si>
  <si>
    <t>leak_threshold</t>
  </si>
  <si>
    <t>leak_roll_per_min</t>
  </si>
  <si>
    <t>leak_cooldown_sec</t>
  </si>
  <si>
    <t>puddle_lifetime_sec</t>
  </si>
  <si>
    <t>puddle_to_rot_time_sec</t>
  </si>
  <si>
    <t>rot_conversion_chance</t>
  </si>
  <si>
    <t>rot_check_period_sec</t>
  </si>
  <si>
    <t>rot_contagion_mult</t>
  </si>
  <si>
    <t>base_radius_m</t>
  </si>
  <si>
    <t>base_magnitude_per_min</t>
  </si>
  <si>
    <t>falloff_to</t>
  </si>
  <si>
    <t>stack_cap</t>
  </si>
  <si>
    <t>light_dampening_day</t>
  </si>
  <si>
    <t>light_dampening_night</t>
  </si>
  <si>
    <t>night_leak_mult</t>
  </si>
  <si>
    <t>night_contagion_mult</t>
  </si>
  <si>
    <t>cleanup_bonus_window_sec</t>
  </si>
  <si>
    <t>clean_bonus_contentment</t>
  </si>
  <si>
    <t>Pre-leak warning threshold.</t>
  </si>
  <si>
    <t>Below this, leaks can roll.</t>
  </si>
  <si>
    <t>Base chance/min under threshold.</t>
  </si>
  <si>
    <t>Min seconds between leaks per ghost.</t>
  </si>
  <si>
    <t>Uncleaned puddle despawn time.</t>
  </si>
  <si>
    <t>Time to start Rot conversion checks.</t>
  </si>
  <si>
    <t>Per check chance to rot.</t>
  </si>
  <si>
    <t>Period to roll Rot conversions.</t>
  </si>
  <si>
    <t>Rot contagion magnitude multiplier.</t>
  </si>
  <si>
    <t>Contagion radius.</t>
  </si>
  <si>
    <t>Contentment/min at center.</t>
  </si>
  <si>
    <t>Edge magnitude factor.</t>
  </si>
  <si>
    <t>Max stacking puddles.</t>
  </si>
  <si>
    <t>Lantern dampening multiplier (day).</t>
  </si>
  <si>
    <t>Lantern dampening multiplier (night).</t>
  </si>
  <si>
    <t>Leak multiplier at night.</t>
  </si>
  <si>
    <t>Contagion multiplier at night.</t>
  </si>
  <si>
    <t>Window for bonus cleanup rewards.</t>
  </si>
  <si>
    <t>Contentment points for fast cleanup.</t>
  </si>
  <si>
    <t>LinkKey</t>
  </si>
  <si>
    <t>Excel_Formula</t>
  </si>
  <si>
    <t>Essence_Token_Value</t>
  </si>
  <si>
    <t>Ectoplasm_Token_Value (proxy)</t>
  </si>
  <si>
    <t>Token value for Essence</t>
  </si>
  <si>
    <t>Proxy to Essence until ectoplasm token value exists</t>
  </si>
  <si>
    <t>Metric</t>
  </si>
  <si>
    <t>Formula (Excel)</t>
  </si>
  <si>
    <t>Var1</t>
  </si>
  <si>
    <t>Var2</t>
  </si>
  <si>
    <t>Var3</t>
  </si>
  <si>
    <t>Var4</t>
  </si>
  <si>
    <t>Var5</t>
  </si>
  <si>
    <t>Var6</t>
  </si>
  <si>
    <t>Expected Leaks / Day</t>
  </si>
  <si>
    <t>Expected Puddles / Day</t>
  </si>
  <si>
    <t>Expected Rot / Day</t>
  </si>
  <si>
    <t>Cleanup Token Value / Day</t>
  </si>
  <si>
    <t>Night Surge Multiplier</t>
  </si>
  <si>
    <t>Ghosts</t>
  </si>
  <si>
    <t>LeaksPerDay</t>
  </si>
  <si>
    <t>PuddlesPerDay</t>
  </si>
  <si>
    <t>IsNight</t>
  </si>
  <si>
    <t>Hours</t>
  </si>
  <si>
    <t>AvgContentment</t>
  </si>
  <si>
    <t>Element</t>
  </si>
  <si>
    <t>VFX</t>
  </si>
  <si>
    <t>SFX</t>
  </si>
  <si>
    <t>Leak</t>
  </si>
  <si>
    <t>Contagion</t>
  </si>
  <si>
    <t>Rot</t>
  </si>
  <si>
    <t>Cleanup</t>
  </si>
  <si>
    <t>Lantern Aura</t>
  </si>
  <si>
    <t>Splat + ring wave on ground; wet shine material.</t>
  </si>
  <si>
    <t>Pulsing ring; radius scales with parameters; overlay dots.</t>
  </si>
  <si>
    <t>Darkened slime with vein decals; small flies; lower chroma.</t>
  </si>
  <si>
    <t>Sponge/cloth strokes; puddle shrinks; sparkle pop on finish.</t>
  </si>
  <si>
    <t>Warm circles; stronger at night; subtle particles.</t>
  </si>
  <si>
    <t>Squish + drip + soft gasp.</t>
  </si>
  <si>
    <t>Low 'hiss'; heartbeat pulse when near center.</t>
  </si>
  <si>
    <t>Buzz + low groan; glitchy whisper.</t>
  </si>
  <si>
    <t>Wipe + satisfying 'plop' reward.</t>
  </si>
  <si>
    <t>Lantern hum; bell tint at 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</si>
</sst>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ources_List_With_Folder_Structure_SeedsOutputs_Metrics_WithGlob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.6640625" customWidth="1"/>
    <col min="2" max="2" width="84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13</v>
      </c>
    </row>
    <row r="3" spans="1:2" x14ac:dyDescent="0.2">
      <c r="A3" t="s">
        <v>3</v>
      </c>
      <c r="B3" t="s">
        <v>14</v>
      </c>
    </row>
    <row r="4" spans="1:2" x14ac:dyDescent="0.2">
      <c r="A4" t="s">
        <v>4</v>
      </c>
      <c r="B4" t="s">
        <v>15</v>
      </c>
    </row>
    <row r="5" spans="1:2" x14ac:dyDescent="0.2">
      <c r="A5" t="s">
        <v>5</v>
      </c>
      <c r="B5" t="s">
        <v>16</v>
      </c>
    </row>
    <row r="6" spans="1:2" x14ac:dyDescent="0.2">
      <c r="A6" t="s">
        <v>6</v>
      </c>
      <c r="B6" t="s">
        <v>17</v>
      </c>
    </row>
    <row r="7" spans="1:2" x14ac:dyDescent="0.2">
      <c r="A7" t="s">
        <v>7</v>
      </c>
      <c r="B7" t="s">
        <v>18</v>
      </c>
    </row>
    <row r="8" spans="1:2" x14ac:dyDescent="0.2">
      <c r="A8" t="s">
        <v>8</v>
      </c>
      <c r="B8" t="s">
        <v>19</v>
      </c>
    </row>
    <row r="9" spans="1:2" x14ac:dyDescent="0.2">
      <c r="A9" t="s">
        <v>9</v>
      </c>
      <c r="B9" t="s">
        <v>20</v>
      </c>
    </row>
    <row r="10" spans="1:2" x14ac:dyDescent="0.2">
      <c r="A10" t="s">
        <v>10</v>
      </c>
      <c r="B10" t="s">
        <v>21</v>
      </c>
    </row>
    <row r="11" spans="1:2" x14ac:dyDescent="0.2">
      <c r="A11" t="s">
        <v>11</v>
      </c>
      <c r="B11" t="s">
        <v>22</v>
      </c>
    </row>
    <row r="12" spans="1:2" x14ac:dyDescent="0.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.6640625" customWidth="1"/>
    <col min="2" max="2" width="20.6640625" customWidth="1"/>
    <col min="3" max="3" width="55.6640625" customWidth="1"/>
    <col min="4" max="4" width="60.6640625" customWidth="1"/>
    <col min="5" max="5" width="43.6640625" customWidth="1"/>
  </cols>
  <sheetData>
    <row r="1" spans="1:5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">
      <c r="A2">
        <v>1</v>
      </c>
      <c r="B2" t="s">
        <v>29</v>
      </c>
      <c r="C2" t="s">
        <v>35</v>
      </c>
      <c r="D2" t="s">
        <v>41</v>
      </c>
      <c r="E2" t="s">
        <v>47</v>
      </c>
    </row>
    <row r="3" spans="1:5" x14ac:dyDescent="0.2">
      <c r="A3">
        <v>2</v>
      </c>
      <c r="B3" t="s">
        <v>30</v>
      </c>
      <c r="C3" t="s">
        <v>36</v>
      </c>
      <c r="D3" t="s">
        <v>42</v>
      </c>
      <c r="E3" t="s">
        <v>48</v>
      </c>
    </row>
    <row r="4" spans="1:5" x14ac:dyDescent="0.2">
      <c r="A4">
        <v>3</v>
      </c>
      <c r="B4" t="s">
        <v>31</v>
      </c>
      <c r="C4" t="s">
        <v>37</v>
      </c>
      <c r="D4" t="s">
        <v>43</v>
      </c>
      <c r="E4" t="s">
        <v>49</v>
      </c>
    </row>
    <row r="5" spans="1:5" x14ac:dyDescent="0.2">
      <c r="A5">
        <v>4</v>
      </c>
      <c r="B5" t="s">
        <v>32</v>
      </c>
      <c r="C5" t="s">
        <v>38</v>
      </c>
      <c r="D5" t="s">
        <v>44</v>
      </c>
      <c r="E5" t="s">
        <v>50</v>
      </c>
    </row>
    <row r="6" spans="1:5" x14ac:dyDescent="0.2">
      <c r="A6">
        <v>5</v>
      </c>
      <c r="B6" t="s">
        <v>33</v>
      </c>
      <c r="C6" t="s">
        <v>39</v>
      </c>
      <c r="D6" t="s">
        <v>45</v>
      </c>
      <c r="E6" t="s">
        <v>51</v>
      </c>
    </row>
    <row r="7" spans="1:5" x14ac:dyDescent="0.2">
      <c r="A7">
        <v>6</v>
      </c>
      <c r="B7" t="s">
        <v>34</v>
      </c>
      <c r="C7" t="s">
        <v>40</v>
      </c>
      <c r="D7" t="s">
        <v>46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.6640625" customWidth="1"/>
    <col min="3" max="3" width="66.6640625" customWidth="1"/>
  </cols>
  <sheetData>
    <row r="1" spans="1:3" x14ac:dyDescent="0.2">
      <c r="A1" s="1" t="s">
        <v>53</v>
      </c>
      <c r="B1" s="1" t="s">
        <v>54</v>
      </c>
      <c r="C1" s="1" t="s">
        <v>55</v>
      </c>
    </row>
    <row r="2" spans="1:3" x14ac:dyDescent="0.2">
      <c r="A2" t="s">
        <v>56</v>
      </c>
      <c r="B2">
        <v>0.35</v>
      </c>
      <c r="C2" t="s">
        <v>61</v>
      </c>
    </row>
    <row r="3" spans="1:3" x14ac:dyDescent="0.2">
      <c r="A3" t="s">
        <v>57</v>
      </c>
      <c r="B3">
        <v>0.3</v>
      </c>
      <c r="C3" t="s">
        <v>62</v>
      </c>
    </row>
    <row r="4" spans="1:3" x14ac:dyDescent="0.2">
      <c r="A4" t="s">
        <v>58</v>
      </c>
      <c r="B4">
        <v>0.1</v>
      </c>
      <c r="C4" t="s">
        <v>63</v>
      </c>
    </row>
    <row r="5" spans="1:3" x14ac:dyDescent="0.2">
      <c r="A5" t="s">
        <v>59</v>
      </c>
      <c r="B5">
        <v>60</v>
      </c>
      <c r="C5" t="s">
        <v>64</v>
      </c>
    </row>
    <row r="6" spans="1:3" x14ac:dyDescent="0.2">
      <c r="A6" t="s">
        <v>60</v>
      </c>
      <c r="B6">
        <v>0.05</v>
      </c>
      <c r="C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.6640625" customWidth="1"/>
    <col min="2" max="2" width="18.6640625" customWidth="1"/>
    <col min="3" max="3" width="61.6640625" customWidth="1"/>
  </cols>
  <sheetData>
    <row r="1" spans="1:3" x14ac:dyDescent="0.2">
      <c r="A1" s="1" t="s">
        <v>66</v>
      </c>
      <c r="B1" s="1" t="s">
        <v>54</v>
      </c>
      <c r="C1" s="1" t="s">
        <v>55</v>
      </c>
    </row>
    <row r="2" spans="1:3" x14ac:dyDescent="0.2">
      <c r="A2" t="s">
        <v>67</v>
      </c>
      <c r="B2">
        <v>1</v>
      </c>
      <c r="C2" t="s">
        <v>72</v>
      </c>
    </row>
    <row r="3" spans="1:3" x14ac:dyDescent="0.2">
      <c r="A3" t="s">
        <v>68</v>
      </c>
      <c r="B3">
        <v>2</v>
      </c>
      <c r="C3" t="s">
        <v>73</v>
      </c>
    </row>
    <row r="4" spans="1:3" x14ac:dyDescent="0.2">
      <c r="A4" t="s">
        <v>69</v>
      </c>
      <c r="B4">
        <v>180</v>
      </c>
      <c r="C4" t="s">
        <v>74</v>
      </c>
    </row>
    <row r="5" spans="1:3" x14ac:dyDescent="0.2">
      <c r="A5" t="s">
        <v>70</v>
      </c>
      <c r="B5">
        <v>90</v>
      </c>
      <c r="C5" t="s">
        <v>75</v>
      </c>
    </row>
    <row r="6" spans="1:3" x14ac:dyDescent="0.2">
      <c r="A6" t="s">
        <v>71</v>
      </c>
      <c r="B6">
        <v>0</v>
      </c>
      <c r="C6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6640625" customWidth="1"/>
    <col min="2" max="2" width="18.6640625" customWidth="1"/>
    <col min="3" max="3" width="62.6640625" customWidth="1"/>
  </cols>
  <sheetData>
    <row r="1" spans="1:3" x14ac:dyDescent="0.2">
      <c r="A1" s="1" t="s">
        <v>53</v>
      </c>
      <c r="B1" s="1" t="s">
        <v>54</v>
      </c>
      <c r="C1" s="1" t="s">
        <v>55</v>
      </c>
    </row>
    <row r="2" spans="1:3" x14ac:dyDescent="0.2">
      <c r="A2" t="s">
        <v>77</v>
      </c>
      <c r="B2">
        <v>3</v>
      </c>
      <c r="C2" t="s">
        <v>86</v>
      </c>
    </row>
    <row r="3" spans="1:3" x14ac:dyDescent="0.2">
      <c r="A3" t="s">
        <v>78</v>
      </c>
      <c r="B3">
        <v>-1</v>
      </c>
      <c r="C3" t="s">
        <v>87</v>
      </c>
    </row>
    <row r="4" spans="1:3" x14ac:dyDescent="0.2">
      <c r="A4" t="s">
        <v>79</v>
      </c>
      <c r="B4" t="s">
        <v>85</v>
      </c>
      <c r="C4" t="s">
        <v>88</v>
      </c>
    </row>
    <row r="5" spans="1:3" x14ac:dyDescent="0.2">
      <c r="A5" t="s">
        <v>80</v>
      </c>
      <c r="B5">
        <v>0.25</v>
      </c>
      <c r="C5" t="s">
        <v>89</v>
      </c>
    </row>
    <row r="6" spans="1:3" x14ac:dyDescent="0.2">
      <c r="A6" t="s">
        <v>81</v>
      </c>
      <c r="B6">
        <v>2</v>
      </c>
      <c r="C6" t="s">
        <v>90</v>
      </c>
    </row>
    <row r="7" spans="1:3" x14ac:dyDescent="0.2">
      <c r="A7" t="s">
        <v>82</v>
      </c>
      <c r="B7">
        <v>0.5</v>
      </c>
      <c r="C7" t="s">
        <v>91</v>
      </c>
    </row>
    <row r="8" spans="1:3" x14ac:dyDescent="0.2">
      <c r="A8" t="s">
        <v>83</v>
      </c>
      <c r="B8">
        <v>0.75</v>
      </c>
      <c r="C8" t="s">
        <v>92</v>
      </c>
    </row>
    <row r="9" spans="1:3" x14ac:dyDescent="0.2">
      <c r="A9" t="s">
        <v>84</v>
      </c>
      <c r="B9">
        <v>-0.85</v>
      </c>
      <c r="C9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.6640625" customWidth="1"/>
    <col min="2" max="2" width="18.6640625" customWidth="1"/>
    <col min="3" max="3" width="59.6640625" customWidth="1"/>
  </cols>
  <sheetData>
    <row r="1" spans="1:3" x14ac:dyDescent="0.2">
      <c r="A1" s="1" t="s">
        <v>53</v>
      </c>
      <c r="B1" s="1" t="s">
        <v>54</v>
      </c>
      <c r="C1" s="1" t="s">
        <v>55</v>
      </c>
    </row>
    <row r="2" spans="1:3" x14ac:dyDescent="0.2">
      <c r="A2" t="s">
        <v>94</v>
      </c>
      <c r="B2">
        <v>0.25</v>
      </c>
      <c r="C2" t="s">
        <v>99</v>
      </c>
    </row>
    <row r="3" spans="1:3" x14ac:dyDescent="0.2">
      <c r="A3" t="s">
        <v>95</v>
      </c>
      <c r="B3">
        <v>15</v>
      </c>
      <c r="C3" t="s">
        <v>100</v>
      </c>
    </row>
    <row r="4" spans="1:3" x14ac:dyDescent="0.2">
      <c r="A4" t="s">
        <v>96</v>
      </c>
      <c r="B4">
        <v>1.5</v>
      </c>
      <c r="C4" t="s">
        <v>101</v>
      </c>
    </row>
    <row r="5" spans="1:3" x14ac:dyDescent="0.2">
      <c r="A5" t="s">
        <v>97</v>
      </c>
      <c r="B5">
        <v>0.1</v>
      </c>
      <c r="C5" t="s">
        <v>102</v>
      </c>
    </row>
    <row r="6" spans="1:3" x14ac:dyDescent="0.2">
      <c r="A6" t="s">
        <v>98</v>
      </c>
      <c r="B6">
        <v>2</v>
      </c>
      <c r="C6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.6640625" customWidth="1"/>
    <col min="2" max="2" width="18.6640625" customWidth="1"/>
    <col min="3" max="3" width="56.6640625" customWidth="1"/>
  </cols>
  <sheetData>
    <row r="1" spans="1:3" x14ac:dyDescent="0.2">
      <c r="A1" s="1" t="s">
        <v>53</v>
      </c>
      <c r="B1" s="1" t="s">
        <v>54</v>
      </c>
      <c r="C1" s="1" t="s">
        <v>55</v>
      </c>
    </row>
    <row r="2" spans="1:3" x14ac:dyDescent="0.2">
      <c r="A2" t="s">
        <v>104</v>
      </c>
      <c r="B2">
        <v>20</v>
      </c>
      <c r="C2" t="s">
        <v>109</v>
      </c>
    </row>
    <row r="3" spans="1:3" x14ac:dyDescent="0.2">
      <c r="A3" t="s">
        <v>105</v>
      </c>
      <c r="B3">
        <v>5</v>
      </c>
      <c r="C3" t="s">
        <v>110</v>
      </c>
    </row>
    <row r="4" spans="1:3" x14ac:dyDescent="0.2">
      <c r="A4" t="s">
        <v>106</v>
      </c>
      <c r="B4">
        <v>1.25</v>
      </c>
      <c r="C4" t="s">
        <v>111</v>
      </c>
    </row>
    <row r="5" spans="1:3" x14ac:dyDescent="0.2">
      <c r="A5" t="s">
        <v>107</v>
      </c>
      <c r="B5">
        <v>1.1499999999999999</v>
      </c>
      <c r="C5" t="s">
        <v>112</v>
      </c>
    </row>
    <row r="6" spans="1:3" x14ac:dyDescent="0.2">
      <c r="A6" t="s">
        <v>108</v>
      </c>
      <c r="B6">
        <v>0.6</v>
      </c>
      <c r="C6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.6640625" customWidth="1"/>
    <col min="2" max="2" width="18.6640625" customWidth="1"/>
    <col min="3" max="3" width="58.6640625" customWidth="1"/>
  </cols>
  <sheetData>
    <row r="1" spans="1:3" x14ac:dyDescent="0.2">
      <c r="A1" s="1" t="s">
        <v>53</v>
      </c>
      <c r="B1" s="1" t="s">
        <v>54</v>
      </c>
      <c r="C1" s="1" t="s">
        <v>55</v>
      </c>
    </row>
    <row r="2" spans="1:3" x14ac:dyDescent="0.2">
      <c r="A2" t="s">
        <v>114</v>
      </c>
      <c r="B2">
        <v>1</v>
      </c>
      <c r="C2" t="s">
        <v>119</v>
      </c>
    </row>
    <row r="3" spans="1:3" x14ac:dyDescent="0.2">
      <c r="A3" t="s">
        <v>115</v>
      </c>
      <c r="B3">
        <v>2</v>
      </c>
      <c r="C3" t="s">
        <v>120</v>
      </c>
    </row>
    <row r="4" spans="1:3" x14ac:dyDescent="0.2">
      <c r="A4" t="s">
        <v>116</v>
      </c>
      <c r="B4">
        <v>0.05</v>
      </c>
      <c r="C4" t="s">
        <v>121</v>
      </c>
    </row>
    <row r="5" spans="1:3" x14ac:dyDescent="0.2">
      <c r="A5" t="s">
        <v>117</v>
      </c>
      <c r="B5">
        <v>10</v>
      </c>
      <c r="C5" t="s">
        <v>122</v>
      </c>
    </row>
    <row r="6" spans="1:3" x14ac:dyDescent="0.2">
      <c r="A6" t="s">
        <v>118</v>
      </c>
      <c r="B6">
        <v>2</v>
      </c>
      <c r="C6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.6640625" customWidth="1"/>
    <col min="2" max="2" width="84.6640625" customWidth="1"/>
  </cols>
  <sheetData>
    <row r="1" spans="1:2" x14ac:dyDescent="0.2">
      <c r="A1" s="1" t="s">
        <v>124</v>
      </c>
      <c r="B1" s="1" t="s">
        <v>125</v>
      </c>
    </row>
    <row r="2" spans="1:2" x14ac:dyDescent="0.2">
      <c r="A2" t="s">
        <v>126</v>
      </c>
      <c r="B2" t="s">
        <v>134</v>
      </c>
    </row>
    <row r="3" spans="1:2" x14ac:dyDescent="0.2">
      <c r="A3" t="s">
        <v>127</v>
      </c>
      <c r="B3" t="s">
        <v>135</v>
      </c>
    </row>
    <row r="4" spans="1:2" x14ac:dyDescent="0.2">
      <c r="A4" t="s">
        <v>128</v>
      </c>
      <c r="B4" t="s">
        <v>136</v>
      </c>
    </row>
    <row r="5" spans="1:2" x14ac:dyDescent="0.2">
      <c r="A5" t="s">
        <v>129</v>
      </c>
      <c r="B5" t="s">
        <v>137</v>
      </c>
    </row>
    <row r="6" spans="1:2" x14ac:dyDescent="0.2">
      <c r="A6" t="s">
        <v>130</v>
      </c>
      <c r="B6" t="s">
        <v>138</v>
      </c>
    </row>
    <row r="7" spans="1:2" x14ac:dyDescent="0.2">
      <c r="A7" t="s">
        <v>131</v>
      </c>
      <c r="B7" t="s">
        <v>139</v>
      </c>
    </row>
    <row r="8" spans="1:2" x14ac:dyDescent="0.2">
      <c r="A8" t="s">
        <v>132</v>
      </c>
      <c r="B8" t="s">
        <v>140</v>
      </c>
    </row>
    <row r="9" spans="1:2" x14ac:dyDescent="0.2">
      <c r="A9" t="s">
        <v>133</v>
      </c>
      <c r="B9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.6640625" customWidth="1"/>
    <col min="2" max="2" width="30.6640625" customWidth="1"/>
    <col min="3" max="3" width="29.6640625" customWidth="1"/>
    <col min="4" max="4" width="38.6640625" customWidth="1"/>
    <col min="5" max="5" width="40.6640625" customWidth="1"/>
    <col min="6" max="6" width="22.6640625" customWidth="1"/>
    <col min="7" max="7" width="29.6640625" customWidth="1"/>
    <col min="8" max="8" width="25.6640625" customWidth="1"/>
    <col min="9" max="9" width="39.6640625" customWidth="1"/>
  </cols>
  <sheetData>
    <row r="1" spans="1:9" x14ac:dyDescent="0.2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x14ac:dyDescent="0.2">
      <c r="A2" t="s">
        <v>151</v>
      </c>
      <c r="B2" t="s">
        <v>157</v>
      </c>
      <c r="C2" t="s">
        <v>163</v>
      </c>
      <c r="D2" t="s">
        <v>169</v>
      </c>
      <c r="E2" t="s">
        <v>175</v>
      </c>
      <c r="F2" t="s">
        <v>181</v>
      </c>
      <c r="G2" t="s">
        <v>187</v>
      </c>
      <c r="H2" t="s">
        <v>193</v>
      </c>
      <c r="I2" t="s">
        <v>199</v>
      </c>
    </row>
    <row r="3" spans="1:9" x14ac:dyDescent="0.2">
      <c r="A3" t="s">
        <v>152</v>
      </c>
      <c r="B3" t="s">
        <v>158</v>
      </c>
      <c r="C3" t="s">
        <v>164</v>
      </c>
      <c r="D3" t="s">
        <v>170</v>
      </c>
      <c r="E3" t="s">
        <v>176</v>
      </c>
      <c r="F3" t="s">
        <v>182</v>
      </c>
      <c r="G3" t="s">
        <v>188</v>
      </c>
      <c r="H3" t="s">
        <v>194</v>
      </c>
      <c r="I3" t="s">
        <v>200</v>
      </c>
    </row>
    <row r="4" spans="1:9" x14ac:dyDescent="0.2">
      <c r="A4" t="s">
        <v>153</v>
      </c>
      <c r="B4" t="s">
        <v>159</v>
      </c>
      <c r="C4" t="s">
        <v>165</v>
      </c>
      <c r="D4" t="s">
        <v>171</v>
      </c>
      <c r="E4" t="s">
        <v>177</v>
      </c>
      <c r="F4" t="s">
        <v>183</v>
      </c>
      <c r="G4" t="s">
        <v>189</v>
      </c>
      <c r="H4" t="s">
        <v>195</v>
      </c>
      <c r="I4" t="s">
        <v>201</v>
      </c>
    </row>
    <row r="5" spans="1:9" x14ac:dyDescent="0.2">
      <c r="A5" t="s">
        <v>154</v>
      </c>
      <c r="B5" t="s">
        <v>160</v>
      </c>
      <c r="C5" t="s">
        <v>166</v>
      </c>
      <c r="D5" t="s">
        <v>172</v>
      </c>
      <c r="E5" t="s">
        <v>178</v>
      </c>
      <c r="F5" t="s">
        <v>184</v>
      </c>
      <c r="G5" t="s">
        <v>190</v>
      </c>
      <c r="H5" t="s">
        <v>196</v>
      </c>
      <c r="I5" t="s">
        <v>202</v>
      </c>
    </row>
    <row r="6" spans="1:9" x14ac:dyDescent="0.2">
      <c r="A6" t="s">
        <v>155</v>
      </c>
      <c r="B6" t="s">
        <v>161</v>
      </c>
      <c r="C6" t="s">
        <v>167</v>
      </c>
      <c r="D6" t="s">
        <v>173</v>
      </c>
      <c r="E6" t="s">
        <v>179</v>
      </c>
      <c r="F6" t="s">
        <v>185</v>
      </c>
      <c r="G6" t="s">
        <v>191</v>
      </c>
      <c r="H6" t="s">
        <v>197</v>
      </c>
      <c r="I6" t="s">
        <v>203</v>
      </c>
    </row>
    <row r="7" spans="1:9" x14ac:dyDescent="0.2">
      <c r="A7" t="s">
        <v>156</v>
      </c>
      <c r="B7" t="s">
        <v>162</v>
      </c>
      <c r="C7" t="s">
        <v>168</v>
      </c>
      <c r="D7" t="s">
        <v>174</v>
      </c>
      <c r="E7" t="s">
        <v>180</v>
      </c>
      <c r="F7" t="s">
        <v>186</v>
      </c>
      <c r="G7" t="s">
        <v>192</v>
      </c>
      <c r="H7" t="s">
        <v>198</v>
      </c>
      <c r="I7" t="s">
        <v>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.6640625" customWidth="1"/>
    <col min="2" max="4" width="18.6640625" customWidth="1"/>
    <col min="5" max="5" width="39.6640625" customWidth="1"/>
  </cols>
  <sheetData>
    <row r="1" spans="1:5" x14ac:dyDescent="0.2">
      <c r="A1" s="1" t="s">
        <v>53</v>
      </c>
      <c r="B1" s="1" t="s">
        <v>54</v>
      </c>
      <c r="C1" s="1" t="s">
        <v>205</v>
      </c>
      <c r="D1" s="1" t="s">
        <v>206</v>
      </c>
      <c r="E1" s="1" t="s">
        <v>55</v>
      </c>
    </row>
    <row r="2" spans="1:5" x14ac:dyDescent="0.2">
      <c r="A2" t="s">
        <v>207</v>
      </c>
      <c r="B2">
        <v>0.35</v>
      </c>
      <c r="C2">
        <v>0.2</v>
      </c>
      <c r="D2">
        <v>0.6</v>
      </c>
      <c r="E2" t="s">
        <v>226</v>
      </c>
    </row>
    <row r="3" spans="1:5" x14ac:dyDescent="0.2">
      <c r="A3" t="s">
        <v>208</v>
      </c>
      <c r="B3">
        <v>0.3</v>
      </c>
      <c r="C3">
        <v>0.1</v>
      </c>
      <c r="D3">
        <v>0.5</v>
      </c>
      <c r="E3" t="s">
        <v>227</v>
      </c>
    </row>
    <row r="4" spans="1:5" x14ac:dyDescent="0.2">
      <c r="A4" t="s">
        <v>209</v>
      </c>
      <c r="B4">
        <v>0.1</v>
      </c>
      <c r="C4">
        <v>0</v>
      </c>
      <c r="D4">
        <v>0.25</v>
      </c>
      <c r="E4" t="s">
        <v>228</v>
      </c>
    </row>
    <row r="5" spans="1:5" x14ac:dyDescent="0.2">
      <c r="A5" t="s">
        <v>210</v>
      </c>
      <c r="B5">
        <v>60</v>
      </c>
      <c r="C5">
        <v>15</v>
      </c>
      <c r="D5">
        <v>180</v>
      </c>
      <c r="E5" t="s">
        <v>229</v>
      </c>
    </row>
    <row r="6" spans="1:5" x14ac:dyDescent="0.2">
      <c r="A6" t="s">
        <v>211</v>
      </c>
      <c r="B6">
        <v>180</v>
      </c>
      <c r="C6">
        <v>60</v>
      </c>
      <c r="D6">
        <v>360</v>
      </c>
      <c r="E6" t="s">
        <v>230</v>
      </c>
    </row>
    <row r="7" spans="1:5" x14ac:dyDescent="0.2">
      <c r="A7" t="s">
        <v>212</v>
      </c>
      <c r="B7">
        <v>90</v>
      </c>
      <c r="C7">
        <v>30</v>
      </c>
      <c r="D7">
        <v>240</v>
      </c>
      <c r="E7" t="s">
        <v>231</v>
      </c>
    </row>
    <row r="8" spans="1:5" x14ac:dyDescent="0.2">
      <c r="A8" t="s">
        <v>213</v>
      </c>
      <c r="B8">
        <v>0.25</v>
      </c>
      <c r="C8">
        <v>0</v>
      </c>
      <c r="D8">
        <v>0.5</v>
      </c>
      <c r="E8" t="s">
        <v>232</v>
      </c>
    </row>
    <row r="9" spans="1:5" x14ac:dyDescent="0.2">
      <c r="A9" t="s">
        <v>214</v>
      </c>
      <c r="B9">
        <v>15</v>
      </c>
      <c r="C9">
        <v>5</v>
      </c>
      <c r="D9">
        <v>60</v>
      </c>
      <c r="E9" t="s">
        <v>233</v>
      </c>
    </row>
    <row r="10" spans="1:5" x14ac:dyDescent="0.2">
      <c r="A10" t="s">
        <v>215</v>
      </c>
      <c r="B10">
        <v>1.5</v>
      </c>
      <c r="C10">
        <v>1</v>
      </c>
      <c r="D10">
        <v>3</v>
      </c>
      <c r="E10" t="s">
        <v>234</v>
      </c>
    </row>
    <row r="11" spans="1:5" x14ac:dyDescent="0.2">
      <c r="A11" t="s">
        <v>216</v>
      </c>
      <c r="B11">
        <v>3</v>
      </c>
      <c r="C11">
        <v>1.5</v>
      </c>
      <c r="D11">
        <v>6</v>
      </c>
      <c r="E11" t="s">
        <v>235</v>
      </c>
    </row>
    <row r="12" spans="1:5" x14ac:dyDescent="0.2">
      <c r="A12" t="s">
        <v>217</v>
      </c>
      <c r="B12">
        <v>-1</v>
      </c>
      <c r="C12">
        <v>-3</v>
      </c>
      <c r="D12">
        <v>-0.25</v>
      </c>
      <c r="E12" t="s">
        <v>236</v>
      </c>
    </row>
    <row r="13" spans="1:5" x14ac:dyDescent="0.2">
      <c r="A13" t="s">
        <v>218</v>
      </c>
      <c r="B13">
        <v>0.25</v>
      </c>
      <c r="C13">
        <v>0.1</v>
      </c>
      <c r="D13">
        <v>0.5</v>
      </c>
      <c r="E13" t="s">
        <v>237</v>
      </c>
    </row>
    <row r="14" spans="1:5" x14ac:dyDescent="0.2">
      <c r="A14" t="s">
        <v>219</v>
      </c>
      <c r="B14">
        <v>2</v>
      </c>
      <c r="C14">
        <v>1</v>
      </c>
      <c r="D14">
        <v>4</v>
      </c>
      <c r="E14" t="s">
        <v>238</v>
      </c>
    </row>
    <row r="15" spans="1:5" x14ac:dyDescent="0.2">
      <c r="A15" t="s">
        <v>220</v>
      </c>
      <c r="B15">
        <v>0.5</v>
      </c>
      <c r="C15">
        <v>0.1</v>
      </c>
      <c r="D15">
        <v>0.9</v>
      </c>
      <c r="E15" t="s">
        <v>239</v>
      </c>
    </row>
    <row r="16" spans="1:5" x14ac:dyDescent="0.2">
      <c r="A16" t="s">
        <v>221</v>
      </c>
      <c r="B16">
        <v>0.6</v>
      </c>
      <c r="C16">
        <v>0.1</v>
      </c>
      <c r="D16">
        <v>0.9</v>
      </c>
      <c r="E16" t="s">
        <v>240</v>
      </c>
    </row>
    <row r="17" spans="1:5" x14ac:dyDescent="0.2">
      <c r="A17" t="s">
        <v>222</v>
      </c>
      <c r="B17">
        <v>1.25</v>
      </c>
      <c r="C17">
        <v>1</v>
      </c>
      <c r="D17">
        <v>1.5</v>
      </c>
      <c r="E17" t="s">
        <v>241</v>
      </c>
    </row>
    <row r="18" spans="1:5" x14ac:dyDescent="0.2">
      <c r="A18" t="s">
        <v>223</v>
      </c>
      <c r="B18">
        <v>1.1499999999999999</v>
      </c>
      <c r="C18">
        <v>1</v>
      </c>
      <c r="D18">
        <v>1.5</v>
      </c>
      <c r="E18" t="s">
        <v>242</v>
      </c>
    </row>
    <row r="19" spans="1:5" x14ac:dyDescent="0.2">
      <c r="A19" t="s">
        <v>224</v>
      </c>
      <c r="B19">
        <v>10</v>
      </c>
      <c r="C19">
        <v>5</v>
      </c>
      <c r="D19">
        <v>20</v>
      </c>
      <c r="E19" t="s">
        <v>243</v>
      </c>
    </row>
    <row r="20" spans="1:5" x14ac:dyDescent="0.2">
      <c r="A20" t="s">
        <v>225</v>
      </c>
      <c r="B20">
        <v>2</v>
      </c>
      <c r="C20">
        <v>1</v>
      </c>
      <c r="D20">
        <v>5</v>
      </c>
      <c r="E20" t="s">
        <v>244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6640625" customWidth="1"/>
    <col min="2" max="2" width="84.6640625" customWidth="1"/>
    <col min="3" max="3" width="53.6640625" customWidth="1"/>
  </cols>
  <sheetData>
    <row r="1" spans="1:3" x14ac:dyDescent="0.2">
      <c r="A1" s="1" t="s">
        <v>245</v>
      </c>
      <c r="B1" s="1" t="s">
        <v>246</v>
      </c>
      <c r="C1" s="1" t="s">
        <v>55</v>
      </c>
    </row>
    <row r="2" spans="1:3" x14ac:dyDescent="0.2">
      <c r="A2" t="s">
        <v>247</v>
      </c>
      <c r="B2" cm="1">
        <f t="array" ref="B2">_xlfn.XLOOKUP("token_value_per_essence",[1]Globals!$B:$B,[1]Globals!$C:$C,0)</f>
        <v>0</v>
      </c>
      <c r="C2" t="s">
        <v>249</v>
      </c>
    </row>
    <row r="3" spans="1:3" x14ac:dyDescent="0.2">
      <c r="A3" t="s">
        <v>248</v>
      </c>
      <c r="B3" cm="1">
        <f t="array" ref="B3">IFERROR(_xlfn.XLOOKUP("token_value_per_ectoplasm",[1]Globals!$B:$B,[1]Globals!$C:$C,0),_xlfn.XLOOKUP("token_value_per_essence",[1]Globals!$B:$B,[1]Globals!$C:$C,0))</f>
        <v>0</v>
      </c>
      <c r="C3" t="s">
        <v>250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7.6640625" customWidth="1"/>
    <col min="2" max="2" width="84.6640625" customWidth="1"/>
    <col min="3" max="3" width="18.6640625" customWidth="1"/>
    <col min="4" max="4" width="23.6640625" customWidth="1"/>
    <col min="5" max="5" width="22.6640625" customWidth="1"/>
    <col min="6" max="6" width="24.6640625" customWidth="1"/>
    <col min="7" max="8" width="18.6640625" customWidth="1"/>
  </cols>
  <sheetData>
    <row r="1" spans="1:8" x14ac:dyDescent="0.2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</row>
    <row r="2" spans="1:8" x14ac:dyDescent="0.2">
      <c r="A2" t="s">
        <v>259</v>
      </c>
      <c r="B2" t="e">
        <f>Ghosts * Hours * leak_roll_per_min * IF(AvgContentment&lt;leak_threshold,1,0.5)</f>
        <v>#NAME?</v>
      </c>
      <c r="C2" t="s">
        <v>264</v>
      </c>
      <c r="D2" t="s">
        <v>268</v>
      </c>
      <c r="E2" t="s">
        <v>269</v>
      </c>
    </row>
    <row r="3" spans="1:8" x14ac:dyDescent="0.2">
      <c r="A3" t="s">
        <v>260</v>
      </c>
      <c r="B3" t="e">
        <f>LeaksPerDay * AVERAGE(Puddle_Min,Puddle_Max)</f>
        <v>#NAME?</v>
      </c>
      <c r="C3" t="s">
        <v>265</v>
      </c>
      <c r="D3" t="s">
        <v>67</v>
      </c>
      <c r="E3" t="s">
        <v>68</v>
      </c>
    </row>
    <row r="4" spans="1:8" x14ac:dyDescent="0.2">
      <c r="A4" t="s">
        <v>261</v>
      </c>
      <c r="B4" t="e">
        <f>PuddlesPerDay * rot_conversion_chance * (puddle_lifetime_sec/puddle_to_rot_time_sec)</f>
        <v>#NAME?</v>
      </c>
      <c r="C4" t="s">
        <v>266</v>
      </c>
      <c r="D4" t="s">
        <v>213</v>
      </c>
      <c r="E4" t="s">
        <v>211</v>
      </c>
      <c r="F4" t="s">
        <v>212</v>
      </c>
    </row>
    <row r="5" spans="1:8" x14ac:dyDescent="0.2">
      <c r="A5" t="s">
        <v>262</v>
      </c>
      <c r="B5" t="e">
        <f>PuddlesPerDay * AVERAGE(Ecto_Yield_Min,Ecto_Yield_Max) * External_Links!B2</f>
        <v>#NAME?</v>
      </c>
      <c r="C5" t="s">
        <v>266</v>
      </c>
      <c r="D5" t="s">
        <v>114</v>
      </c>
      <c r="E5" t="s">
        <v>115</v>
      </c>
    </row>
    <row r="6" spans="1:8" x14ac:dyDescent="0.2">
      <c r="A6" t="s">
        <v>263</v>
      </c>
      <c r="B6" t="e">
        <f>IF(IsNight, night_leak_mult*night_contagion_mult, 1)</f>
        <v>#NAME?</v>
      </c>
      <c r="C6" t="s">
        <v>267</v>
      </c>
      <c r="D6" t="s">
        <v>222</v>
      </c>
      <c r="E6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.6640625" customWidth="1"/>
    <col min="2" max="2" width="62.6640625" customWidth="1"/>
    <col min="3" max="3" width="47.6640625" customWidth="1"/>
  </cols>
  <sheetData>
    <row r="1" spans="1:3" x14ac:dyDescent="0.2">
      <c r="A1" s="1" t="s">
        <v>270</v>
      </c>
      <c r="B1" s="1" t="s">
        <v>271</v>
      </c>
      <c r="C1" s="1" t="s">
        <v>272</v>
      </c>
    </row>
    <row r="2" spans="1:3" x14ac:dyDescent="0.2">
      <c r="A2" t="s">
        <v>273</v>
      </c>
      <c r="B2" t="s">
        <v>278</v>
      </c>
      <c r="C2" t="s">
        <v>283</v>
      </c>
    </row>
    <row r="3" spans="1:3" x14ac:dyDescent="0.2">
      <c r="A3" t="s">
        <v>274</v>
      </c>
      <c r="B3" t="s">
        <v>279</v>
      </c>
      <c r="C3" t="s">
        <v>284</v>
      </c>
    </row>
    <row r="4" spans="1:3" x14ac:dyDescent="0.2">
      <c r="A4" t="s">
        <v>275</v>
      </c>
      <c r="B4" t="s">
        <v>280</v>
      </c>
      <c r="C4" t="s">
        <v>285</v>
      </c>
    </row>
    <row r="5" spans="1:3" x14ac:dyDescent="0.2">
      <c r="A5" t="s">
        <v>276</v>
      </c>
      <c r="B5" t="s">
        <v>281</v>
      </c>
      <c r="C5" t="s">
        <v>286</v>
      </c>
    </row>
    <row r="6" spans="1:3" x14ac:dyDescent="0.2">
      <c r="A6" t="s">
        <v>277</v>
      </c>
      <c r="B6" t="s">
        <v>282</v>
      </c>
      <c r="C6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Core_Flow</vt:lpstr>
      <vt:lpstr>Leak_Thresholds</vt:lpstr>
      <vt:lpstr>Ecto_Spawn_Rules</vt:lpstr>
      <vt:lpstr>Contagion_Model</vt:lpstr>
      <vt:lpstr>Rot_Events</vt:lpstr>
      <vt:lpstr>Night_Surges</vt:lpstr>
      <vt:lpstr>Cleanup_Rewards</vt:lpstr>
      <vt:lpstr>Interactions</vt:lpstr>
      <vt:lpstr>Hooks</vt:lpstr>
      <vt:lpstr>Tuning_Defaults</vt:lpstr>
      <vt:lpstr>External_Links</vt:lpstr>
      <vt:lpstr>Computed_Metrics</vt:lpstr>
      <vt:lpstr>Visuals_FX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2025-11-01T03:08:27Z</dcterms:created>
  <dcterms:modified xsi:type="dcterms:W3CDTF">2025-11-01T03:10:56Z</dcterms:modified>
</cp:coreProperties>
</file>