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B0C18462-EFE9-F549-9B2C-B169B1061B61}" xr6:coauthVersionLast="47" xr6:coauthVersionMax="47" xr10:uidLastSave="{00000000-0000-0000-0000-000000000000}"/>
  <bookViews>
    <workbookView xWindow="240" yWindow="760" windowWidth="28920" windowHeight="16180" xr2:uid="{00000000-000D-0000-FFFF-FFFF00000000}"/>
  </bookViews>
  <sheets>
    <sheet name="Overview" sheetId="1" r:id="rId1"/>
    <sheet name="Core_Loop" sheetId="2" r:id="rId2"/>
    <sheet name="Ritual_Types" sheetId="3" r:id="rId3"/>
    <sheet name="Costs_Cooldowns" sheetId="4" r:id="rId4"/>
    <sheet name="Interactions" sheetId="5" r:id="rId5"/>
    <sheet name="Hooks" sheetId="6" r:id="rId6"/>
    <sheet name="Tuning_Defaults" sheetId="7" r:id="rId7"/>
    <sheet name="Resource_Summary" sheetId="8" r:id="rId8"/>
    <sheet name="Visuals_FX" sheetId="9" r:id="rId9"/>
    <sheet name="Computed_Metrics" sheetId="10" r:id="rId10"/>
    <sheet name="External_Links" sheetId="11" r:id="rId11"/>
    <sheet name="Efficiency_Inputs" sheetId="12" r:id="rId12"/>
    <sheet name="Costs_Live" sheetId="13" r:id="rId13"/>
    <sheet name="Chart_Cost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4" l="1" a="1"/>
  <c r="D8" i="14" s="1"/>
  <c r="C8" i="14" a="1"/>
  <c r="C8" i="14" s="1"/>
  <c r="B8" i="14" a="1"/>
  <c r="B8" i="14" s="1"/>
  <c r="C7" i="14" a="1"/>
  <c r="C7" i="14" s="1"/>
  <c r="C6" i="14" a="1"/>
  <c r="C6" i="14" s="1"/>
  <c r="B6" i="14" a="1"/>
  <c r="B6" i="14" s="1"/>
  <c r="B4" i="14" a="1"/>
  <c r="B4" i="14" s="1"/>
  <c r="D2" i="14" a="1"/>
  <c r="D2" i="14"/>
  <c r="C2" i="14" a="1"/>
  <c r="C2" i="14" s="1"/>
  <c r="B2" i="14" a="1"/>
  <c r="B2" i="14"/>
  <c r="J8" i="13"/>
  <c r="D7" i="14" s="1" a="1"/>
  <c r="D7" i="14" s="1"/>
  <c r="I8" i="13"/>
  <c r="H8" i="13"/>
  <c r="B7" i="14" s="1" a="1"/>
  <c r="B7" i="14" s="1"/>
  <c r="J7" i="13"/>
  <c r="D6" i="14" s="1" a="1"/>
  <c r="D6" i="14" s="1"/>
  <c r="I7" i="13"/>
  <c r="H7" i="13"/>
  <c r="I6" i="13"/>
  <c r="J6" i="13" s="1"/>
  <c r="D5" i="14" s="1" a="1"/>
  <c r="D5" i="14" s="1"/>
  <c r="H6" i="13"/>
  <c r="B5" i="14" s="1" a="1"/>
  <c r="B5" i="14" s="1"/>
  <c r="I5" i="13"/>
  <c r="J5" i="13" s="1"/>
  <c r="D4" i="14" s="1" a="1"/>
  <c r="D4" i="14" s="1"/>
  <c r="H5" i="13"/>
  <c r="I4" i="13"/>
  <c r="C3" i="14" s="1" a="1"/>
  <c r="C3" i="14" s="1"/>
  <c r="H4" i="13"/>
  <c r="B3" i="14" s="1" a="1"/>
  <c r="B3" i="14" s="1"/>
  <c r="I3" i="13"/>
  <c r="J3" i="13" s="1"/>
  <c r="H3" i="13"/>
  <c r="I2" i="13"/>
  <c r="J2" i="13" s="1"/>
  <c r="H2" i="13"/>
  <c r="C4" i="14" l="1" a="1"/>
  <c r="C4" i="14" s="1"/>
  <c r="J4" i="13"/>
  <c r="D3" i="14" s="1" a="1"/>
  <c r="D3" i="14" s="1"/>
  <c r="C5" i="14" a="1"/>
  <c r="C5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<sst xmlns="http://schemas.openxmlformats.org/spreadsheetml/2006/main" count="346" uniqueCount="276">
  <si>
    <t>Field</t>
  </si>
  <si>
    <t>Description</t>
  </si>
  <si>
    <t>System Name</t>
  </si>
  <si>
    <t>Tagline</t>
  </si>
  <si>
    <t>Purpose</t>
  </si>
  <si>
    <t>One‑line Summary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</si>
  <si>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</si>
  <si>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</si>
  <si>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</si>
  <si>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</si>
  <si>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</si>
  <si>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</si>
  <si>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</si>
  <si>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Rituals &amp; Altar System</t>
  </si>
  <si>
    <t>Care, cleanse, bind, and let go — ceremonies that keep the afterlife from unraveling.</t>
  </si>
  <si>
    <t>Provide powerful, schedule-defining actions that stabilize mood, progress the world, and convert resources into Grace.</t>
  </si>
  <si>
    <t>Perform rituals at the Altar to cleanse Manifest, feed many, bind new spirits, or release the ready — trading resources for harmony and growth.</t>
  </si>
  <si>
    <t>Gather → Prepare → Perform (costs/cooldowns) → Resolve Effects → Generate Grace → Unlock Upgrades</t>
  </si>
  <si>
    <t>Contentment, Manifest/Ectoplasm, Appetite, Grace, Remains, Mementos, Temperaments, Garden, Charms, Requests</t>
  </si>
  <si>
    <t>Doctrine trees with large branches (keep it simple), multi-actor QTEs, long cutscenes.</t>
  </si>
  <si>
    <t>• Rituals feel meaningful and scarce • Costs/cooldowns pace the day • Grace flow is readable • Release moments are emotional and rewarded</t>
  </si>
  <si>
    <t>Brandon (Caretaker Designer)</t>
  </si>
  <si>
    <t>1.0</t>
  </si>
  <si>
    <t>2025-11-01 02:38 UTC</t>
  </si>
  <si>
    <t>Phase</t>
  </si>
  <si>
    <t>Name</t>
  </si>
  <si>
    <t>What Happens</t>
  </si>
  <si>
    <t>Rules</t>
  </si>
  <si>
    <t>UX Cues</t>
  </si>
  <si>
    <t>Gather</t>
  </si>
  <si>
    <t>Prepare</t>
  </si>
  <si>
    <t>Perform</t>
  </si>
  <si>
    <t>Resolve</t>
  </si>
  <si>
    <t>Progress</t>
  </si>
  <si>
    <t>Collect Essence/Remains/Tokens; ensure spirits are calm enough to attend.</t>
  </si>
  <si>
    <t>Choose ritual, check costs &amp; cooldown, select participants/targets.</t>
  </si>
  <si>
    <t>Consume resources; play ceremony; apply effects globally/locally.</t>
  </si>
  <si>
    <t>Spawn rewards (Grace, Memoria), adjust mood, clear Manifest/Rot, or bind/release spirits.</t>
  </si>
  <si>
    <t>Spend Grace on upgrades; unlock new rituals or altar tiers.</t>
  </si>
  <si>
    <t>Encourage care before ceremony; use Garden &amp; Tasks to prep.</t>
  </si>
  <si>
    <t>Some rituals stronger with happy participants (Fanatics, Storyteller boost).</t>
  </si>
  <si>
    <t>Outcomes scale with Contentment; mishaps if mood is low.</t>
  </si>
  <si>
    <t>Release is bittersweet: lose a worker, gain Memoria &amp; Mementos.</t>
  </si>
  <si>
    <t>Pacing spine of mid-game; defines daily rhythm.</t>
  </si>
  <si>
    <t>HUD ritual-ready toasts; altar glow when possible.</t>
  </si>
  <si>
    <t>Ritual panel: costs, effects, cooldown timers, preview.</t>
  </si>
  <si>
    <t>Short cinematic; VFX/SFX; UI ticker of results.</t>
  </si>
  <si>
    <t>Result cards; dialogue barks; log entry.</t>
  </si>
  <si>
    <t>Upgrade tree highlights; next goals surfaced.</t>
  </si>
  <si>
    <t>RitualID</t>
  </si>
  <si>
    <t>Display Name</t>
  </si>
  <si>
    <t>Primary Effect</t>
  </si>
  <si>
    <t>Theme</t>
  </si>
  <si>
    <t>CLEANSING</t>
  </si>
  <si>
    <t>RELEASE</t>
  </si>
  <si>
    <t>BINDING</t>
  </si>
  <si>
    <t>FEAST</t>
  </si>
  <si>
    <t>FESTIVAL</t>
  </si>
  <si>
    <t>BANISH</t>
  </si>
  <si>
    <t>Cleansing Wake</t>
  </si>
  <si>
    <t>Peaceful Release</t>
  </si>
  <si>
    <t>Binding Ceremony</t>
  </si>
  <si>
    <t>Feast of Remembrance</t>
  </si>
  <si>
    <t>Festival of Peace</t>
  </si>
  <si>
    <t>Mass Banish (risky)</t>
  </si>
  <si>
    <t>Global cleanse of Manifest/Rot; +small Contentment pulse.</t>
  </si>
  <si>
    <t>Let a ready spirit pass; yields Grace + Memoria + Mementos; removes worker.</t>
  </si>
  <si>
    <t>Anchor a rescued spirit; adds worker; increases management challenge.</t>
  </si>
  <si>
    <t>Restore Appetite widely; +Contentment; small Grace if harmony high.</t>
  </si>
  <si>
    <t>Area celebration; boosts aura plants; chance to trigger Peacebud.</t>
  </si>
  <si>
    <t>Forcefully remove 1–N ghosts; big cost; instant stability but morale hit.</t>
  </si>
  <si>
    <t>Stability</t>
  </si>
  <si>
    <t>Closure</t>
  </si>
  <si>
    <t>Growth</t>
  </si>
  <si>
    <t>Sustenance</t>
  </si>
  <si>
    <t>Harmony</t>
  </si>
  <si>
    <t>Emergency</t>
  </si>
  <si>
    <t>Base Costs (Ess/Rem)</t>
  </si>
  <si>
    <t>Other Costs</t>
  </si>
  <si>
    <t>Cooldown</t>
  </si>
  <si>
    <t>Notes</t>
  </si>
  <si>
    <t>Total_Cost_Tokens</t>
  </si>
  <si>
    <t>Tokens_per_Grace (est)</t>
  </si>
  <si>
    <t>Essence:30, Remains:8</t>
  </si>
  <si>
    <t>Essence:10, Remains:2</t>
  </si>
  <si>
    <t>Essence:15, Remains:0</t>
  </si>
  <si>
    <t>Essence:20, Remains:0</t>
  </si>
  <si>
    <t>Essence:40, Remains:4</t>
  </si>
  <si>
    <t>Essence:5, Remains:6</t>
  </si>
  <si>
    <t>Tokens:0</t>
  </si>
  <si>
    <t>Tokens:5</t>
  </si>
  <si>
    <t>Tokens:10, Medallions:1</t>
  </si>
  <si>
    <t>1 day</t>
  </si>
  <si>
    <t>3 days</t>
  </si>
  <si>
    <t>2 days</t>
  </si>
  <si>
    <t>5 days</t>
  </si>
  <si>
    <t>4 days</t>
  </si>
  <si>
    <t>Success ↑ if avg Contentment ≥ 60%</t>
  </si>
  <si>
    <t>Yields Memoria:1, Grace:+5 (+bonus if Bond≥3)</t>
  </si>
  <si>
    <t>Adds Spirit; raises Decay Pressure slightly</t>
  </si>
  <si>
    <t>+Appetite to 100% in radius; +Contentment (+ more by Storyteller)</t>
  </si>
  <si>
    <t>Garden buff night; Peacebud chance if harmony high</t>
  </si>
  <si>
    <t>−Contentment global; stop-gap for chaos</t>
  </si>
  <si>
    <t>System</t>
  </si>
  <si>
    <t>Interaction</t>
  </si>
  <si>
    <t>Contentment</t>
  </si>
  <si>
    <t>Manifest/Ectoplasm</t>
  </si>
  <si>
    <t>Appetite</t>
  </si>
  <si>
    <t>Grace</t>
  </si>
  <si>
    <t>Memoria</t>
  </si>
  <si>
    <t>Mementos</t>
  </si>
  <si>
    <t>Temperaments</t>
  </si>
  <si>
    <t>Garden of Rest</t>
  </si>
  <si>
    <t>Charms</t>
  </si>
  <si>
    <t>Requests</t>
  </si>
  <si>
    <t>Modifies success/mishap; many rituals affect mood directly.</t>
  </si>
  <si>
    <t>Cleansing removes leaks and Rot; reduces contagion for a time.</t>
  </si>
  <si>
    <t>Feast restores Appetite; pairs with Garden outputs and Offerings.</t>
  </si>
  <si>
    <t>Primary source; spend on unlocks; gain is higher with harmony.</t>
  </si>
  <si>
    <t>From Release; permanent upgrades; shrine-building.</t>
  </si>
  <si>
    <t>Release gives Mementos; festivals can trickle extras.</t>
  </si>
  <si>
    <t>Fanatics boost yields; Cold ignores morale buffs; others have custom reactions.</t>
  </si>
  <si>
    <t>Festival amplifies auras; cleans Rot; boosts Ectofruit odds briefly.</t>
  </si>
  <si>
    <t>Certain charms amplify/mitigate ritual effects or costs.</t>
  </si>
  <si>
    <t>Some requests ask for a ritual (Release, Feast); fulfilling yields extra Bond/Grace.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</si>
  <si>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</si>
  <si>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</si>
  <si>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</si>
  <si>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</si>
  <si>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</si>
  <si>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</si>
  <si>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</si>
  <si>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</si>
  <si>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</si>
  <si>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HK_AltarController</t>
  </si>
  <si>
    <t>HK_RitualPerformer</t>
  </si>
  <si>
    <t>HK_RitualEffects</t>
  </si>
  <si>
    <t>HK_CooldownClock</t>
  </si>
  <si>
    <t>HK_GraceBank</t>
  </si>
  <si>
    <t>Central ritual manager</t>
  </si>
  <si>
    <t>Anim &amp; sequencing</t>
  </si>
  <si>
    <t>Applies outcomes</t>
  </si>
  <si>
    <t>Cooldowns &amp; timers</t>
  </si>
  <si>
    <t>Grace accounting</t>
  </si>
  <si>
    <t>KD.Rituals.AltarController</t>
  </si>
  <si>
    <t>KD.Rituals.RitualPerformer</t>
  </si>
  <si>
    <t>KD.Rituals.RitualEffects</t>
  </si>
  <si>
    <t>KD.Rituals.CooldownClock</t>
  </si>
  <si>
    <t>KD.Meta.GraceBank</t>
  </si>
  <si>
    <t>unlocked[], cooldowns{}, queue[], modifiers{}</t>
  </si>
  <si>
    <t>ritualId, participants[], vfxKeys[], sfxKeys[]</t>
  </si>
  <si>
    <t>moodPulse, cleanseRadius, appetiteFill, graceYield</t>
  </si>
  <si>
    <t>cooldowns{}, lastPerformed{}</t>
  </si>
  <si>
    <t>graceTotal, earnMult, spend()</t>
  </si>
  <si>
    <t>OnRitualQueued, OnRitualStarted, OnRitualComplete</t>
  </si>
  <si>
    <t>OnRitualStarted, OnRitualStep</t>
  </si>
  <si>
    <t>OnRitualComplete</t>
  </si>
  <si>
    <t>OnDayStart/End</t>
  </si>
  <si>
    <t>OnGraceEarned, OnGraceSpent</t>
  </si>
  <si>
    <t>Player UI; Grace unlocks; day state</t>
  </si>
  <si>
    <t>AltarController</t>
  </si>
  <si>
    <t>RitualPerformer</t>
  </si>
  <si>
    <t>TimeManager</t>
  </si>
  <si>
    <t>RitualEffects</t>
  </si>
  <si>
    <t>Emit: Ritual events; Sub: Mood/Time</t>
  </si>
  <si>
    <t>Emit: Step events, mood pulses</t>
  </si>
  <si>
    <t>Emit: Rewards, ApplyBuffs</t>
  </si>
  <si>
    <t>Emit: Cooldown UI updates</t>
  </si>
  <si>
    <t>Emit: Grace totals</t>
  </si>
  <si>
    <t>PF_Altar, UI_RitualPanel</t>
  </si>
  <si>
    <t>Anim_Ritual_[id], VFX_Ritual_[id]</t>
  </si>
  <si>
    <t>—</t>
  </si>
  <si>
    <t>UI_RitualCooldowns</t>
  </si>
  <si>
    <t>UI_GraceCounter</t>
  </si>
  <si>
    <t>Persists cooldowns; drives VFX.</t>
  </si>
  <si>
    <t>Keeps ceremony short &amp; punchy.</t>
  </si>
  <si>
    <t>Contains balance table per ritual.</t>
  </si>
  <si>
    <t>Sync with save/load.</t>
  </si>
  <si>
    <t>Controls unlock pacing.</t>
  </si>
  <si>
    <t>Parameter</t>
  </si>
  <si>
    <t>Default</t>
  </si>
  <si>
    <t>Min</t>
  </si>
  <si>
    <t>Max</t>
  </si>
  <si>
    <t>ritual_success_harmony_threshold</t>
  </si>
  <si>
    <t>ritual_mishap_base_chance</t>
  </si>
  <si>
    <t>grace_per_release</t>
  </si>
  <si>
    <t>memoria_per_release</t>
  </si>
  <si>
    <t>feast_appetite_fill</t>
  </si>
  <si>
    <t>cleansing_radius</t>
  </si>
  <si>
    <t>festival_duration_min</t>
  </si>
  <si>
    <t>banish_contentment_penalty</t>
  </si>
  <si>
    <t>Avg Contentment above this → better yields; below → mishap chance</t>
  </si>
  <si>
    <t>Base mishap chance if below threshold</t>
  </si>
  <si>
    <t>Grace on Release (before bonuses)</t>
  </si>
  <si>
    <t>Memoria on Release</t>
  </si>
  <si>
    <t>Fraction of Appetite restored by Feast</t>
  </si>
  <si>
    <t>Global by default; can be local for variants</t>
  </si>
  <si>
    <t>Minutes of garden/celebration buff</t>
  </si>
  <si>
    <t>Global −Contentment on Mass Banish</t>
  </si>
  <si>
    <t>Resource</t>
  </si>
  <si>
    <t>Acquired From</t>
  </si>
  <si>
    <t>Used For</t>
  </si>
  <si>
    <t>Essence</t>
  </si>
  <si>
    <t>Remains</t>
  </si>
  <si>
    <t>Tokens/Medallions</t>
  </si>
  <si>
    <t>Emotional energy to fuel ceremonies.</t>
  </si>
  <si>
    <t>Ash/bone dust; the price of power.</t>
  </si>
  <si>
    <t>Hard currency for lavish rites.</t>
  </si>
  <si>
    <t>The quiet permission of the dead.</t>
  </si>
  <si>
    <t>Prestige from letting go.</t>
  </si>
  <si>
    <t>Happy ghosts; dungeon drops.</t>
  </si>
  <si>
    <t>Dungeon runs; banishments; ritual aftermath.</t>
  </si>
  <si>
    <t>Economy &amp; exploration.</t>
  </si>
  <si>
    <t>Ritual yields; releases; perfect care days.</t>
  </si>
  <si>
    <t>Release ritual only.</t>
  </si>
  <si>
    <t>Primary ritual cost; upgrade conversions.</t>
  </si>
  <si>
    <t>Catalyst for powerful or risky rituals.</t>
  </si>
  <si>
    <t>Used in Feasts/Festivals; late-game costs.</t>
  </si>
  <si>
    <t>Meta-progression currency for unlocks.</t>
  </si>
  <si>
    <t>Permanent upgrades; shrines.</t>
  </si>
  <si>
    <t>Ritual</t>
  </si>
  <si>
    <t>VFX</t>
  </si>
  <si>
    <t>SFX</t>
  </si>
  <si>
    <t>Mass Banish</t>
  </si>
  <si>
    <t>Soft white wave clears leaks; candles brighten.</t>
  </si>
  <si>
    <t>Spirit drifts upward; petals fall; others bow.</t>
  </si>
  <si>
    <t>Tether threads draw the rescued spirit in.</t>
  </si>
  <si>
    <t>Tables &amp; bowls appear; warm light expands.</t>
  </si>
  <si>
    <t>Lanterns, confetti bloom; garden glows.</t>
  </si>
  <si>
    <t>Shadow snap; cold wind; candles snuff then relight.</t>
  </si>
  <si>
    <t>Low bell; breathy choir pad.</t>
  </si>
  <si>
    <t>Sighs; light swell; single chime.</t>
  </si>
  <si>
    <t>Two-note motif; soft pulse.</t>
  </si>
  <si>
    <t>Warm clinks; laughter murmur.</t>
  </si>
  <si>
    <t>Festive loop; subtle crowd hum.</t>
  </si>
  <si>
    <t>Bass hit; inhale; distant whisper.</t>
  </si>
  <si>
    <t>Metric</t>
  </si>
  <si>
    <t>Formula (Excel)</t>
  </si>
  <si>
    <t>Var1</t>
  </si>
  <si>
    <t>Var2</t>
  </si>
  <si>
    <t>Var3</t>
  </si>
  <si>
    <t>Var4</t>
  </si>
  <si>
    <t>Grace/Day (Release)</t>
  </si>
  <si>
    <t>Harmony Impact (Feast)</t>
  </si>
  <si>
    <t>Mishap Risk (Cleansing)</t>
  </si>
  <si>
    <t>Festival ROI</t>
  </si>
  <si>
    <t>ReleasesPerDay</t>
  </si>
  <si>
    <t>Targets</t>
  </si>
  <si>
    <t>AvgContentment</t>
  </si>
  <si>
    <t>GraceFromFestival</t>
  </si>
  <si>
    <t>EssenceCost</t>
  </si>
  <si>
    <t>AppetiteToContentmentScalar</t>
  </si>
  <si>
    <t>RemainsCost</t>
  </si>
  <si>
    <t>TokenCost</t>
  </si>
  <si>
    <t>Estimated Grace from Release per day</t>
  </si>
  <si>
    <t>Feast → Appetite → Contentment delta</t>
  </si>
  <si>
    <t>Chance a cleanse under low mood backfires</t>
  </si>
  <si>
    <t>Economy check vs benefits</t>
  </si>
  <si>
    <t>LinkKey</t>
  </si>
  <si>
    <t>Excel_Formula</t>
  </si>
  <si>
    <t>Essence_Token_Value</t>
  </si>
  <si>
    <t>Remains_Token_Value</t>
  </si>
  <si>
    <t>Token_Token_Value</t>
  </si>
  <si>
    <t>Medallion_Token_Value</t>
  </si>
  <si>
    <t>Live token value for 1 Essence (from Resources Globals)</t>
  </si>
  <si>
    <t>Live token value for 1 Remain (from Resources Globals)</t>
  </si>
  <si>
    <t>Token face value (defaults to 1 if not present)</t>
  </si>
  <si>
    <t>Medallion value (defaults to 25 if not present)</t>
  </si>
  <si>
    <t>Key</t>
  </si>
  <si>
    <t>Value</t>
  </si>
  <si>
    <t>Grace_Multiplier</t>
  </si>
  <si>
    <t>Multiply Grace_Estimate to simulate harmony/participant bonuses (e.g., 1.15 = +15%)</t>
  </si>
  <si>
    <t>Tokens</t>
  </si>
  <si>
    <t>Medallions</t>
  </si>
  <si>
    <t>Grace_Estimate</t>
  </si>
  <si>
    <t>Grace_Adjusted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</si>
</sst>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Ritual Cost (Tokens)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Cost (Tokens)</c:v>
          </c:tx>
          <c:invertIfNegative val="0"/>
          <c:cat>
            <c:strRef>
              <c:f>Chart_Costs!$A$2:$A$8</c:f>
              <c:strCache>
                <c:ptCount val="7"/>
                <c:pt idx="0">
                  <c:v>Display Name</c:v>
                </c:pt>
                <c:pt idx="1">
                  <c:v>Cleansing Wake</c:v>
                </c:pt>
                <c:pt idx="2">
                  <c:v>Peaceful Release</c:v>
                </c:pt>
                <c:pt idx="3">
                  <c:v>Binding Ceremony</c:v>
                </c:pt>
                <c:pt idx="4">
                  <c:v>Feast of Remembrance</c:v>
                </c:pt>
                <c:pt idx="5">
                  <c:v>Festival of Peace</c:v>
                </c:pt>
                <c:pt idx="6">
                  <c:v>Mass Banish</c:v>
                </c:pt>
              </c:strCache>
            </c:strRef>
          </c:cat>
          <c:val>
            <c:numRef>
              <c:f>Chart_Costs!$B$2:$B$8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1-3849-91B8-07B7A694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Ritual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Tokens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Ritual Efficiency — Tokens per Grace (Adjusted)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Tokens per Grace (est)</c:v>
          </c:tx>
          <c:marker>
            <c:symbol val="none"/>
          </c:marker>
          <c:cat>
            <c:strRef>
              <c:f>Chart_Costs!$A$2:$A$8</c:f>
              <c:strCache>
                <c:ptCount val="7"/>
                <c:pt idx="0">
                  <c:v>Display Name</c:v>
                </c:pt>
                <c:pt idx="1">
                  <c:v>Cleansing Wake</c:v>
                </c:pt>
                <c:pt idx="2">
                  <c:v>Peaceful Release</c:v>
                </c:pt>
                <c:pt idx="3">
                  <c:v>Binding Ceremony</c:v>
                </c:pt>
                <c:pt idx="4">
                  <c:v>Feast of Remembrance</c:v>
                </c:pt>
                <c:pt idx="5">
                  <c:v>Festival of Peace</c:v>
                </c:pt>
                <c:pt idx="6">
                  <c:v>Mass Banish</c:v>
                </c:pt>
              </c:strCache>
            </c:strRef>
          </c:cat>
          <c:val>
            <c:numRef>
              <c:f>Chart_Costs!$D$2:$D$8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A-9443-8F3A-781D0C2ED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Ritual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Tokens / Grace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657225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18</xdr:col>
      <xdr:colOff>304800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7.1640625" bestFit="1" customWidth="1"/>
    <col min="2" max="2" width="111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13</v>
      </c>
    </row>
    <row r="3" spans="1:2" x14ac:dyDescent="0.2">
      <c r="A3" t="s">
        <v>3</v>
      </c>
      <c r="B3" t="s">
        <v>14</v>
      </c>
    </row>
    <row r="4" spans="1:2" x14ac:dyDescent="0.2">
      <c r="A4" t="s">
        <v>4</v>
      </c>
      <c r="B4" t="s">
        <v>15</v>
      </c>
    </row>
    <row r="5" spans="1:2" x14ac:dyDescent="0.2">
      <c r="A5" t="s">
        <v>5</v>
      </c>
      <c r="B5" t="s">
        <v>16</v>
      </c>
    </row>
    <row r="6" spans="1:2" x14ac:dyDescent="0.2">
      <c r="A6" t="s">
        <v>6</v>
      </c>
      <c r="B6" t="s">
        <v>17</v>
      </c>
    </row>
    <row r="7" spans="1:2" x14ac:dyDescent="0.2">
      <c r="A7" t="s">
        <v>7</v>
      </c>
      <c r="B7" t="s">
        <v>18</v>
      </c>
    </row>
    <row r="8" spans="1:2" x14ac:dyDescent="0.2">
      <c r="A8" t="s">
        <v>8</v>
      </c>
      <c r="B8" t="s">
        <v>19</v>
      </c>
    </row>
    <row r="9" spans="1:2" x14ac:dyDescent="0.2">
      <c r="A9" t="s">
        <v>9</v>
      </c>
      <c r="B9" t="s">
        <v>20</v>
      </c>
    </row>
    <row r="10" spans="1:2" x14ac:dyDescent="0.2">
      <c r="A10" t="s">
        <v>10</v>
      </c>
      <c r="B10" t="s">
        <v>21</v>
      </c>
    </row>
    <row r="11" spans="1:2" x14ac:dyDescent="0.2">
      <c r="A11" t="s">
        <v>11</v>
      </c>
      <c r="B11" t="s">
        <v>22</v>
      </c>
    </row>
    <row r="12" spans="1:2" x14ac:dyDescent="0.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5.6640625" bestFit="1" customWidth="1"/>
    <col min="2" max="2" width="7.5" bestFit="1" customWidth="1"/>
    <col min="3" max="3" width="70.33203125" bestFit="1" customWidth="1"/>
    <col min="4" max="4" width="58.5" bestFit="1" customWidth="1"/>
    <col min="5" max="5" width="42.5" bestFit="1" customWidth="1"/>
  </cols>
  <sheetData>
    <row r="1" spans="1:5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">
      <c r="A2">
        <v>1</v>
      </c>
      <c r="B2" t="s">
        <v>29</v>
      </c>
      <c r="C2" t="s">
        <v>34</v>
      </c>
      <c r="D2" t="s">
        <v>39</v>
      </c>
      <c r="E2" t="s">
        <v>44</v>
      </c>
    </row>
    <row r="3" spans="1:5" x14ac:dyDescent="0.2">
      <c r="A3">
        <v>2</v>
      </c>
      <c r="B3" t="s">
        <v>30</v>
      </c>
      <c r="C3" t="s">
        <v>35</v>
      </c>
      <c r="D3" t="s">
        <v>40</v>
      </c>
      <c r="E3" t="s">
        <v>45</v>
      </c>
    </row>
    <row r="4" spans="1:5" x14ac:dyDescent="0.2">
      <c r="A4">
        <v>3</v>
      </c>
      <c r="B4" t="s">
        <v>31</v>
      </c>
      <c r="C4" t="s">
        <v>36</v>
      </c>
      <c r="D4" t="s">
        <v>41</v>
      </c>
      <c r="E4" t="s">
        <v>46</v>
      </c>
    </row>
    <row r="5" spans="1:5" x14ac:dyDescent="0.2">
      <c r="A5">
        <v>4</v>
      </c>
      <c r="B5" t="s">
        <v>32</v>
      </c>
      <c r="C5" t="s">
        <v>37</v>
      </c>
      <c r="D5" t="s">
        <v>42</v>
      </c>
      <c r="E5" t="s">
        <v>47</v>
      </c>
    </row>
    <row r="6" spans="1:5" x14ac:dyDescent="0.2">
      <c r="A6">
        <v>5</v>
      </c>
      <c r="B6" t="s">
        <v>33</v>
      </c>
      <c r="C6" t="s">
        <v>38</v>
      </c>
      <c r="D6" t="s">
        <v>43</v>
      </c>
      <c r="E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9.6640625" bestFit="1" customWidth="1"/>
    <col min="2" max="2" width="18.1640625" bestFit="1" customWidth="1"/>
    <col min="3" max="3" width="59.5" bestFit="1" customWidth="1"/>
    <col min="4" max="4" width="9.6640625" bestFit="1" customWidth="1"/>
  </cols>
  <sheetData>
    <row r="1" spans="1:4" x14ac:dyDescent="0.2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">
      <c r="A2" t="s">
        <v>53</v>
      </c>
      <c r="B2" t="s">
        <v>59</v>
      </c>
      <c r="C2" t="s">
        <v>65</v>
      </c>
      <c r="D2" t="s">
        <v>71</v>
      </c>
    </row>
    <row r="3" spans="1:4" x14ac:dyDescent="0.2">
      <c r="A3" t="s">
        <v>54</v>
      </c>
      <c r="B3" t="s">
        <v>60</v>
      </c>
      <c r="C3" t="s">
        <v>66</v>
      </c>
      <c r="D3" t="s">
        <v>72</v>
      </c>
    </row>
    <row r="4" spans="1:4" x14ac:dyDescent="0.2">
      <c r="A4" t="s">
        <v>55</v>
      </c>
      <c r="B4" t="s">
        <v>61</v>
      </c>
      <c r="C4" t="s">
        <v>67</v>
      </c>
      <c r="D4" t="s">
        <v>73</v>
      </c>
    </row>
    <row r="5" spans="1:4" x14ac:dyDescent="0.2">
      <c r="A5" t="s">
        <v>56</v>
      </c>
      <c r="B5" t="s">
        <v>62</v>
      </c>
      <c r="C5" t="s">
        <v>68</v>
      </c>
      <c r="D5" t="s">
        <v>74</v>
      </c>
    </row>
    <row r="6" spans="1:4" x14ac:dyDescent="0.2">
      <c r="A6" t="s">
        <v>57</v>
      </c>
      <c r="B6" t="s">
        <v>63</v>
      </c>
      <c r="C6" t="s">
        <v>69</v>
      </c>
      <c r="D6" t="s">
        <v>75</v>
      </c>
    </row>
    <row r="7" spans="1:4" x14ac:dyDescent="0.2">
      <c r="A7" t="s">
        <v>58</v>
      </c>
      <c r="B7" t="s">
        <v>64</v>
      </c>
      <c r="C7" t="s">
        <v>70</v>
      </c>
      <c r="D7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9.6640625" bestFit="1" customWidth="1"/>
    <col min="2" max="2" width="18.1640625" bestFit="1" customWidth="1"/>
    <col min="3" max="3" width="19.6640625" bestFit="1" customWidth="1"/>
    <col min="4" max="4" width="9" bestFit="1" customWidth="1"/>
    <col min="5" max="5" width="52" bestFit="1" customWidth="1"/>
    <col min="6" max="6" width="15.33203125" bestFit="1" customWidth="1"/>
    <col min="7" max="7" width="19.1640625" bestFit="1" customWidth="1"/>
  </cols>
  <sheetData>
    <row r="1" spans="1:7" x14ac:dyDescent="0.2">
      <c r="A1" s="1" t="s">
        <v>49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1:7" x14ac:dyDescent="0.2">
      <c r="A2" t="s">
        <v>53</v>
      </c>
      <c r="B2" t="s">
        <v>83</v>
      </c>
      <c r="C2" t="s">
        <v>89</v>
      </c>
      <c r="D2" t="s">
        <v>92</v>
      </c>
      <c r="E2" t="s">
        <v>97</v>
      </c>
      <c r="F2">
        <v>0</v>
      </c>
      <c r="G2">
        <v>0</v>
      </c>
    </row>
    <row r="3" spans="1:7" x14ac:dyDescent="0.2">
      <c r="A3" t="s">
        <v>54</v>
      </c>
      <c r="B3" t="s">
        <v>84</v>
      </c>
      <c r="C3" t="s">
        <v>89</v>
      </c>
      <c r="D3" t="s">
        <v>93</v>
      </c>
      <c r="E3" t="s">
        <v>98</v>
      </c>
      <c r="F3">
        <v>0</v>
      </c>
      <c r="G3">
        <v>0</v>
      </c>
    </row>
    <row r="4" spans="1:7" x14ac:dyDescent="0.2">
      <c r="A4" t="s">
        <v>55</v>
      </c>
      <c r="B4" t="s">
        <v>85</v>
      </c>
      <c r="C4" t="s">
        <v>89</v>
      </c>
      <c r="D4" t="s">
        <v>94</v>
      </c>
      <c r="E4" t="s">
        <v>99</v>
      </c>
      <c r="F4">
        <v>0</v>
      </c>
      <c r="G4">
        <v>0</v>
      </c>
    </row>
    <row r="5" spans="1:7" x14ac:dyDescent="0.2">
      <c r="A5" t="s">
        <v>56</v>
      </c>
      <c r="B5" t="s">
        <v>86</v>
      </c>
      <c r="C5" t="s">
        <v>90</v>
      </c>
      <c r="D5" t="s">
        <v>94</v>
      </c>
      <c r="E5" t="s">
        <v>100</v>
      </c>
      <c r="F5">
        <v>0</v>
      </c>
      <c r="G5">
        <v>0</v>
      </c>
    </row>
    <row r="6" spans="1:7" x14ac:dyDescent="0.2">
      <c r="A6" t="s">
        <v>57</v>
      </c>
      <c r="B6" t="s">
        <v>87</v>
      </c>
      <c r="C6" t="s">
        <v>91</v>
      </c>
      <c r="D6" t="s">
        <v>95</v>
      </c>
      <c r="E6" t="s">
        <v>101</v>
      </c>
      <c r="F6">
        <v>0</v>
      </c>
      <c r="G6">
        <v>0</v>
      </c>
    </row>
    <row r="7" spans="1:7" x14ac:dyDescent="0.2">
      <c r="A7" t="s">
        <v>58</v>
      </c>
      <c r="B7" t="s">
        <v>88</v>
      </c>
      <c r="C7" t="s">
        <v>89</v>
      </c>
      <c r="D7" t="s">
        <v>96</v>
      </c>
      <c r="E7" t="s">
        <v>102</v>
      </c>
      <c r="F7">
        <v>0</v>
      </c>
      <c r="G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6.33203125" bestFit="1" customWidth="1"/>
    <col min="2" max="2" width="61.6640625" bestFit="1" customWidth="1"/>
  </cols>
  <sheetData>
    <row r="1" spans="1:2" x14ac:dyDescent="0.2">
      <c r="A1" s="1" t="s">
        <v>103</v>
      </c>
      <c r="B1" s="1" t="s">
        <v>104</v>
      </c>
    </row>
    <row r="2" spans="1:2" x14ac:dyDescent="0.2">
      <c r="A2" t="s">
        <v>105</v>
      </c>
      <c r="B2" t="s">
        <v>115</v>
      </c>
    </row>
    <row r="3" spans="1:2" x14ac:dyDescent="0.2">
      <c r="A3" t="s">
        <v>106</v>
      </c>
      <c r="B3" t="s">
        <v>116</v>
      </c>
    </row>
    <row r="4" spans="1:2" x14ac:dyDescent="0.2">
      <c r="A4" t="s">
        <v>107</v>
      </c>
      <c r="B4" t="s">
        <v>117</v>
      </c>
    </row>
    <row r="5" spans="1:2" x14ac:dyDescent="0.2">
      <c r="A5" t="s">
        <v>108</v>
      </c>
      <c r="B5" t="s">
        <v>118</v>
      </c>
    </row>
    <row r="6" spans="1:2" x14ac:dyDescent="0.2">
      <c r="A6" t="s">
        <v>109</v>
      </c>
      <c r="B6" t="s">
        <v>119</v>
      </c>
    </row>
    <row r="7" spans="1:2" x14ac:dyDescent="0.2">
      <c r="A7" t="s">
        <v>110</v>
      </c>
      <c r="B7" t="s">
        <v>120</v>
      </c>
    </row>
    <row r="8" spans="1:2" x14ac:dyDescent="0.2">
      <c r="A8" t="s">
        <v>111</v>
      </c>
      <c r="B8" t="s">
        <v>121</v>
      </c>
    </row>
    <row r="9" spans="1:2" x14ac:dyDescent="0.2">
      <c r="A9" t="s">
        <v>112</v>
      </c>
      <c r="B9" t="s">
        <v>122</v>
      </c>
    </row>
    <row r="10" spans="1:2" x14ac:dyDescent="0.2">
      <c r="A10" t="s">
        <v>113</v>
      </c>
      <c r="B10" t="s">
        <v>123</v>
      </c>
    </row>
    <row r="11" spans="1:2" x14ac:dyDescent="0.2">
      <c r="A11" t="s">
        <v>114</v>
      </c>
      <c r="B11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6.5" bestFit="1" customWidth="1"/>
    <col min="2" max="2" width="18.1640625" bestFit="1" customWidth="1"/>
    <col min="3" max="3" width="22" bestFit="1" customWidth="1"/>
    <col min="4" max="4" width="39.83203125" bestFit="1" customWidth="1"/>
    <col min="5" max="5" width="42.5" bestFit="1" customWidth="1"/>
    <col min="6" max="6" width="27.1640625" bestFit="1" customWidth="1"/>
    <col min="7" max="7" width="29" bestFit="1" customWidth="1"/>
    <col min="8" max="8" width="26.6640625" bestFit="1" customWidth="1"/>
    <col min="9" max="9" width="26.33203125" bestFit="1" customWidth="1"/>
  </cols>
  <sheetData>
    <row r="1" spans="1:9" x14ac:dyDescent="0.2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</row>
    <row r="2" spans="1:9" x14ac:dyDescent="0.2">
      <c r="A2" t="s">
        <v>134</v>
      </c>
      <c r="B2" t="s">
        <v>139</v>
      </c>
      <c r="C2" t="s">
        <v>144</v>
      </c>
      <c r="D2" t="s">
        <v>149</v>
      </c>
      <c r="E2" t="s">
        <v>154</v>
      </c>
      <c r="F2" t="s">
        <v>159</v>
      </c>
      <c r="G2" t="s">
        <v>164</v>
      </c>
      <c r="H2" t="s">
        <v>169</v>
      </c>
      <c r="I2" t="s">
        <v>174</v>
      </c>
    </row>
    <row r="3" spans="1:9" x14ac:dyDescent="0.2">
      <c r="A3" t="s">
        <v>135</v>
      </c>
      <c r="B3" t="s">
        <v>140</v>
      </c>
      <c r="C3" t="s">
        <v>145</v>
      </c>
      <c r="D3" t="s">
        <v>150</v>
      </c>
      <c r="E3" t="s">
        <v>155</v>
      </c>
      <c r="F3" t="s">
        <v>160</v>
      </c>
      <c r="G3" t="s">
        <v>165</v>
      </c>
      <c r="H3" t="s">
        <v>170</v>
      </c>
      <c r="I3" t="s">
        <v>175</v>
      </c>
    </row>
    <row r="4" spans="1:9" x14ac:dyDescent="0.2">
      <c r="A4" t="s">
        <v>136</v>
      </c>
      <c r="B4" t="s">
        <v>141</v>
      </c>
      <c r="C4" t="s">
        <v>146</v>
      </c>
      <c r="D4" t="s">
        <v>151</v>
      </c>
      <c r="E4" t="s">
        <v>156</v>
      </c>
      <c r="F4" t="s">
        <v>161</v>
      </c>
      <c r="G4" t="s">
        <v>166</v>
      </c>
      <c r="H4" t="s">
        <v>171</v>
      </c>
      <c r="I4" t="s">
        <v>176</v>
      </c>
    </row>
    <row r="5" spans="1:9" x14ac:dyDescent="0.2">
      <c r="A5" t="s">
        <v>137</v>
      </c>
      <c r="B5" t="s">
        <v>142</v>
      </c>
      <c r="C5" t="s">
        <v>147</v>
      </c>
      <c r="D5" t="s">
        <v>152</v>
      </c>
      <c r="E5" t="s">
        <v>157</v>
      </c>
      <c r="F5" t="s">
        <v>162</v>
      </c>
      <c r="G5" t="s">
        <v>167</v>
      </c>
      <c r="H5" t="s">
        <v>172</v>
      </c>
      <c r="I5" t="s">
        <v>177</v>
      </c>
    </row>
    <row r="6" spans="1:9" x14ac:dyDescent="0.2">
      <c r="A6" t="s">
        <v>138</v>
      </c>
      <c r="B6" t="s">
        <v>143</v>
      </c>
      <c r="C6" t="s">
        <v>148</v>
      </c>
      <c r="D6" t="s">
        <v>153</v>
      </c>
      <c r="E6" t="s">
        <v>158</v>
      </c>
      <c r="F6" t="s">
        <v>163</v>
      </c>
      <c r="G6" t="s">
        <v>168</v>
      </c>
      <c r="H6" t="s">
        <v>173</v>
      </c>
      <c r="I6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E17" sqref="E17"/>
    </sheetView>
  </sheetViews>
  <sheetFormatPr baseColWidth="10" defaultColWidth="8.83203125" defaultRowHeight="15" x14ac:dyDescent="0.2"/>
  <cols>
    <col min="1" max="1" width="28" bestFit="1" customWidth="1"/>
    <col min="2" max="2" width="6.83203125" bestFit="1" customWidth="1"/>
    <col min="3" max="3" width="4.33203125" bestFit="1" customWidth="1"/>
    <col min="4" max="4" width="5.1640625" bestFit="1" customWidth="1"/>
    <col min="5" max="5" width="54.6640625" bestFit="1" customWidth="1"/>
  </cols>
  <sheetData>
    <row r="1" spans="1:5" x14ac:dyDescent="0.2">
      <c r="A1" s="1" t="s">
        <v>179</v>
      </c>
      <c r="B1" s="1" t="s">
        <v>180</v>
      </c>
      <c r="C1" s="1" t="s">
        <v>181</v>
      </c>
      <c r="D1" s="1" t="s">
        <v>182</v>
      </c>
      <c r="E1" s="1" t="s">
        <v>80</v>
      </c>
    </row>
    <row r="2" spans="1:5" x14ac:dyDescent="0.2">
      <c r="A2" t="s">
        <v>183</v>
      </c>
      <c r="B2">
        <v>0.6</v>
      </c>
      <c r="C2">
        <v>0.4</v>
      </c>
      <c r="D2">
        <v>0.9</v>
      </c>
      <c r="E2" t="s">
        <v>191</v>
      </c>
    </row>
    <row r="3" spans="1:5" x14ac:dyDescent="0.2">
      <c r="A3" t="s">
        <v>184</v>
      </c>
      <c r="B3">
        <v>0.05</v>
      </c>
      <c r="C3">
        <v>0</v>
      </c>
      <c r="D3">
        <v>0.25</v>
      </c>
      <c r="E3" t="s">
        <v>192</v>
      </c>
    </row>
    <row r="4" spans="1:5" x14ac:dyDescent="0.2">
      <c r="A4" t="s">
        <v>185</v>
      </c>
      <c r="B4">
        <v>5</v>
      </c>
      <c r="C4">
        <v>3</v>
      </c>
      <c r="D4">
        <v>10</v>
      </c>
      <c r="E4" t="s">
        <v>193</v>
      </c>
    </row>
    <row r="5" spans="1:5" x14ac:dyDescent="0.2">
      <c r="A5" t="s">
        <v>186</v>
      </c>
      <c r="B5">
        <v>1</v>
      </c>
      <c r="C5">
        <v>1</v>
      </c>
      <c r="D5">
        <v>3</v>
      </c>
      <c r="E5" t="s">
        <v>194</v>
      </c>
    </row>
    <row r="6" spans="1:5" x14ac:dyDescent="0.2">
      <c r="A6" t="s">
        <v>187</v>
      </c>
      <c r="B6">
        <v>1</v>
      </c>
      <c r="C6">
        <v>0.5</v>
      </c>
      <c r="D6">
        <v>1</v>
      </c>
      <c r="E6" t="s">
        <v>195</v>
      </c>
    </row>
    <row r="7" spans="1:5" x14ac:dyDescent="0.2">
      <c r="A7" t="s">
        <v>188</v>
      </c>
      <c r="B7">
        <v>999</v>
      </c>
      <c r="C7">
        <v>6</v>
      </c>
      <c r="D7">
        <v>999</v>
      </c>
      <c r="E7" t="s">
        <v>196</v>
      </c>
    </row>
    <row r="8" spans="1:5" x14ac:dyDescent="0.2">
      <c r="A8" t="s">
        <v>189</v>
      </c>
      <c r="B8">
        <v>3</v>
      </c>
      <c r="C8">
        <v>1</v>
      </c>
      <c r="D8">
        <v>5</v>
      </c>
      <c r="E8" t="s">
        <v>197</v>
      </c>
    </row>
    <row r="9" spans="1:5" x14ac:dyDescent="0.2">
      <c r="A9" t="s">
        <v>190</v>
      </c>
      <c r="B9">
        <v>3</v>
      </c>
      <c r="C9">
        <v>1</v>
      </c>
      <c r="D9">
        <v>10</v>
      </c>
      <c r="E9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B12" sqref="B12:C12"/>
    </sheetView>
  </sheetViews>
  <sheetFormatPr baseColWidth="10" defaultColWidth="8.83203125" defaultRowHeight="15" x14ac:dyDescent="0.2"/>
  <cols>
    <col min="1" max="1" width="15.33203125" bestFit="1" customWidth="1"/>
    <col min="2" max="2" width="29.5" bestFit="1" customWidth="1"/>
    <col min="3" max="3" width="36.1640625" bestFit="1" customWidth="1"/>
    <col min="4" max="4" width="32.6640625" bestFit="1" customWidth="1"/>
  </cols>
  <sheetData>
    <row r="1" spans="1:4" x14ac:dyDescent="0.2">
      <c r="A1" s="1" t="s">
        <v>199</v>
      </c>
      <c r="B1" s="1" t="s">
        <v>1</v>
      </c>
      <c r="C1" s="1" t="s">
        <v>200</v>
      </c>
      <c r="D1" s="1" t="s">
        <v>201</v>
      </c>
    </row>
    <row r="2" spans="1:4" x14ac:dyDescent="0.2">
      <c r="A2" t="s">
        <v>202</v>
      </c>
      <c r="B2" t="s">
        <v>205</v>
      </c>
      <c r="C2" t="s">
        <v>210</v>
      </c>
      <c r="D2" t="s">
        <v>215</v>
      </c>
    </row>
    <row r="3" spans="1:4" x14ac:dyDescent="0.2">
      <c r="A3" t="s">
        <v>203</v>
      </c>
      <c r="B3" t="s">
        <v>206</v>
      </c>
      <c r="C3" t="s">
        <v>211</v>
      </c>
      <c r="D3" t="s">
        <v>216</v>
      </c>
    </row>
    <row r="4" spans="1:4" x14ac:dyDescent="0.2">
      <c r="A4" t="s">
        <v>204</v>
      </c>
      <c r="B4" t="s">
        <v>207</v>
      </c>
      <c r="C4" t="s">
        <v>212</v>
      </c>
      <c r="D4" t="s">
        <v>217</v>
      </c>
    </row>
    <row r="5" spans="1:4" x14ac:dyDescent="0.2">
      <c r="A5" t="s">
        <v>108</v>
      </c>
      <c r="B5" t="s">
        <v>208</v>
      </c>
      <c r="C5" t="s">
        <v>213</v>
      </c>
      <c r="D5" t="s">
        <v>218</v>
      </c>
    </row>
    <row r="6" spans="1:4" x14ac:dyDescent="0.2">
      <c r="A6" t="s">
        <v>109</v>
      </c>
      <c r="B6" t="s">
        <v>209</v>
      </c>
      <c r="C6" t="s">
        <v>214</v>
      </c>
      <c r="D6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sqref="A1:C1048576"/>
    </sheetView>
  </sheetViews>
  <sheetFormatPr baseColWidth="10" defaultColWidth="8.83203125" defaultRowHeight="15" x14ac:dyDescent="0.2"/>
  <cols>
    <col min="1" max="1" width="18.1640625" bestFit="1" customWidth="1"/>
    <col min="2" max="2" width="40.33203125" bestFit="1" customWidth="1"/>
    <col min="3" max="3" width="25.6640625" bestFit="1" customWidth="1"/>
  </cols>
  <sheetData>
    <row r="1" spans="1:3" x14ac:dyDescent="0.2">
      <c r="A1" s="1" t="s">
        <v>220</v>
      </c>
      <c r="B1" s="1" t="s">
        <v>221</v>
      </c>
      <c r="C1" s="1" t="s">
        <v>222</v>
      </c>
    </row>
    <row r="2" spans="1:3" x14ac:dyDescent="0.2">
      <c r="A2" t="s">
        <v>59</v>
      </c>
      <c r="B2" t="s">
        <v>224</v>
      </c>
      <c r="C2" t="s">
        <v>230</v>
      </c>
    </row>
    <row r="3" spans="1:3" x14ac:dyDescent="0.2">
      <c r="A3" t="s">
        <v>60</v>
      </c>
      <c r="B3" t="s">
        <v>225</v>
      </c>
      <c r="C3" t="s">
        <v>231</v>
      </c>
    </row>
    <row r="4" spans="1:3" x14ac:dyDescent="0.2">
      <c r="A4" t="s">
        <v>61</v>
      </c>
      <c r="B4" t="s">
        <v>226</v>
      </c>
      <c r="C4" t="s">
        <v>232</v>
      </c>
    </row>
    <row r="5" spans="1:3" x14ac:dyDescent="0.2">
      <c r="A5" t="s">
        <v>62</v>
      </c>
      <c r="B5" t="s">
        <v>227</v>
      </c>
      <c r="C5" t="s">
        <v>233</v>
      </c>
    </row>
    <row r="6" spans="1:3" x14ac:dyDescent="0.2">
      <c r="A6" t="s">
        <v>63</v>
      </c>
      <c r="B6" t="s">
        <v>228</v>
      </c>
      <c r="C6" t="s">
        <v>234</v>
      </c>
    </row>
    <row r="7" spans="1:3" x14ac:dyDescent="0.2">
      <c r="A7" t="s">
        <v>223</v>
      </c>
      <c r="B7" t="s">
        <v>229</v>
      </c>
      <c r="C7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9.1640625" bestFit="1" customWidth="1"/>
    <col min="2" max="2" width="12.83203125" bestFit="1" customWidth="1"/>
    <col min="3" max="3" width="15.1640625" bestFit="1" customWidth="1"/>
    <col min="4" max="4" width="28" bestFit="1" customWidth="1"/>
    <col min="5" max="5" width="24.5" bestFit="1" customWidth="1"/>
    <col min="6" max="6" width="9" bestFit="1" customWidth="1"/>
    <col min="7" max="7" width="34.1640625" bestFit="1" customWidth="1"/>
  </cols>
  <sheetData>
    <row r="1" spans="1:7" x14ac:dyDescent="0.2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80</v>
      </c>
    </row>
    <row r="2" spans="1:7" x14ac:dyDescent="0.2">
      <c r="A2" t="s">
        <v>242</v>
      </c>
      <c r="B2">
        <v>0</v>
      </c>
      <c r="C2" t="s">
        <v>246</v>
      </c>
      <c r="D2" t="s">
        <v>185</v>
      </c>
      <c r="G2" t="s">
        <v>254</v>
      </c>
    </row>
    <row r="3" spans="1:7" x14ac:dyDescent="0.2">
      <c r="A3" t="s">
        <v>243</v>
      </c>
      <c r="B3">
        <v>0</v>
      </c>
      <c r="C3" t="s">
        <v>247</v>
      </c>
      <c r="D3" t="s">
        <v>187</v>
      </c>
      <c r="E3" t="s">
        <v>251</v>
      </c>
      <c r="G3" t="s">
        <v>255</v>
      </c>
    </row>
    <row r="4" spans="1:7" x14ac:dyDescent="0.2">
      <c r="A4" t="s">
        <v>244</v>
      </c>
      <c r="B4">
        <v>0</v>
      </c>
      <c r="C4" t="s">
        <v>248</v>
      </c>
      <c r="D4" t="s">
        <v>183</v>
      </c>
      <c r="E4" t="s">
        <v>184</v>
      </c>
      <c r="G4" t="s">
        <v>256</v>
      </c>
    </row>
    <row r="5" spans="1:7" x14ac:dyDescent="0.2">
      <c r="A5" t="s">
        <v>245</v>
      </c>
      <c r="B5">
        <v>0</v>
      </c>
      <c r="C5" t="s">
        <v>249</v>
      </c>
      <c r="D5" t="s">
        <v>250</v>
      </c>
      <c r="E5" t="s">
        <v>252</v>
      </c>
      <c r="F5" t="s">
        <v>253</v>
      </c>
      <c r="G5" t="s">
        <v>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9.33203125" bestFit="1" customWidth="1"/>
    <col min="2" max="2" width="12.33203125" bestFit="1" customWidth="1"/>
    <col min="3" max="3" width="42.83203125" bestFit="1" customWidth="1"/>
  </cols>
  <sheetData>
    <row r="1" spans="1:3" x14ac:dyDescent="0.2">
      <c r="A1" s="1" t="s">
        <v>258</v>
      </c>
      <c r="B1" s="1" t="s">
        <v>259</v>
      </c>
      <c r="C1" s="1" t="s">
        <v>80</v>
      </c>
    </row>
    <row r="2" spans="1:3" x14ac:dyDescent="0.2">
      <c r="A2" t="s">
        <v>260</v>
      </c>
      <c r="B2">
        <v>0</v>
      </c>
      <c r="C2" t="s">
        <v>264</v>
      </c>
    </row>
    <row r="3" spans="1:3" x14ac:dyDescent="0.2">
      <c r="A3" t="s">
        <v>261</v>
      </c>
      <c r="B3">
        <v>0</v>
      </c>
      <c r="C3" t="s">
        <v>265</v>
      </c>
    </row>
    <row r="4" spans="1:3" x14ac:dyDescent="0.2">
      <c r="A4" t="s">
        <v>262</v>
      </c>
      <c r="B4">
        <v>0</v>
      </c>
      <c r="C4" t="s">
        <v>266</v>
      </c>
    </row>
    <row r="5" spans="1:3" x14ac:dyDescent="0.2">
      <c r="A5" t="s">
        <v>263</v>
      </c>
      <c r="B5">
        <v>0</v>
      </c>
      <c r="C5" t="s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4" bestFit="1" customWidth="1"/>
    <col min="2" max="2" width="5.6640625" bestFit="1" customWidth="1"/>
    <col min="3" max="3" width="67" bestFit="1" customWidth="1"/>
  </cols>
  <sheetData>
    <row r="1" spans="1:3" x14ac:dyDescent="0.2">
      <c r="A1" s="1" t="s">
        <v>268</v>
      </c>
      <c r="B1" s="1" t="s">
        <v>269</v>
      </c>
      <c r="C1" s="1" t="s">
        <v>80</v>
      </c>
    </row>
    <row r="2" spans="1:3" x14ac:dyDescent="0.2">
      <c r="A2" t="s">
        <v>270</v>
      </c>
      <c r="B2">
        <v>1</v>
      </c>
      <c r="C2" t="s">
        <v>271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workbookViewId="0">
      <pane ySplit="1" topLeftCell="A2" activePane="bottomLeft" state="frozen"/>
      <selection pane="bottomLeft" activeCell="H5" sqref="H5"/>
    </sheetView>
  </sheetViews>
  <sheetFormatPr baseColWidth="10" defaultColWidth="8.83203125" defaultRowHeight="15" x14ac:dyDescent="0.2"/>
  <cols>
    <col min="1" max="10" width="28.6640625" customWidth="1"/>
  </cols>
  <sheetData>
    <row r="1" spans="1:10" x14ac:dyDescent="0.2">
      <c r="A1" s="2" t="s">
        <v>49</v>
      </c>
      <c r="B1" s="2" t="s">
        <v>50</v>
      </c>
      <c r="C1" s="2" t="s">
        <v>202</v>
      </c>
      <c r="D1" s="2" t="s">
        <v>203</v>
      </c>
      <c r="E1" s="2" t="s">
        <v>272</v>
      </c>
      <c r="F1" s="2" t="s">
        <v>273</v>
      </c>
      <c r="G1" s="2" t="s">
        <v>274</v>
      </c>
      <c r="H1" s="2" t="s">
        <v>81</v>
      </c>
      <c r="I1" s="2" t="s">
        <v>275</v>
      </c>
      <c r="J1" s="2" t="s">
        <v>82</v>
      </c>
    </row>
    <row r="2" spans="1:10" x14ac:dyDescent="0.2">
      <c r="A2" s="1" t="s">
        <v>49</v>
      </c>
      <c r="B2" s="1" t="s">
        <v>50</v>
      </c>
      <c r="C2" s="1" t="s">
        <v>202</v>
      </c>
      <c r="D2" s="1" t="s">
        <v>203</v>
      </c>
      <c r="E2" s="1" t="s">
        <v>272</v>
      </c>
      <c r="F2" s="1" t="s">
        <v>273</v>
      </c>
      <c r="G2" s="1" t="s">
        <v>274</v>
      </c>
      <c r="H2" t="e">
        <f>C2*External_Links!B2 + D2*External_Links!B3 + E2*External_Links!B4 + F2*External_Links!B5</f>
        <v>#VALUE!</v>
      </c>
      <c r="I2" t="e">
        <f>G2*Efficiency_Inputs!B2</f>
        <v>#VALUE!</v>
      </c>
      <c r="J2" t="e">
        <f t="shared" ref="J2:J8" si="0">IF(I2=0,"—",ROUND(H2/I2,2))</f>
        <v>#VALUE!</v>
      </c>
    </row>
    <row r="3" spans="1:10" x14ac:dyDescent="0.2">
      <c r="A3" t="s">
        <v>49</v>
      </c>
      <c r="B3" t="s">
        <v>50</v>
      </c>
      <c r="C3" t="s">
        <v>202</v>
      </c>
      <c r="D3" t="s">
        <v>203</v>
      </c>
      <c r="E3" t="s">
        <v>272</v>
      </c>
      <c r="F3" t="s">
        <v>273</v>
      </c>
      <c r="G3" t="s">
        <v>274</v>
      </c>
      <c r="H3" t="e">
        <f>C3*External_Links!B2 + D3*External_Links!B3 + E3*External_Links!B4 + F3*External_Links!B5</f>
        <v>#VALUE!</v>
      </c>
      <c r="I3" t="e">
        <f>G3*Efficiency_Inputs!B2</f>
        <v>#VALUE!</v>
      </c>
      <c r="J3" t="e">
        <f t="shared" si="0"/>
        <v>#VALUE!</v>
      </c>
    </row>
    <row r="4" spans="1:10" x14ac:dyDescent="0.2">
      <c r="A4" t="s">
        <v>53</v>
      </c>
      <c r="B4" t="s">
        <v>59</v>
      </c>
      <c r="C4">
        <v>30</v>
      </c>
      <c r="D4">
        <v>8</v>
      </c>
      <c r="E4">
        <v>0</v>
      </c>
      <c r="F4">
        <v>0</v>
      </c>
      <c r="G4">
        <v>0</v>
      </c>
      <c r="H4">
        <f>C4*External_Links!B2 + D4*External_Links!B3 + E4*External_Links!B4 + F4*External_Links!B5</f>
        <v>0</v>
      </c>
      <c r="I4">
        <f>G4*Efficiency_Inputs!B2</f>
        <v>0</v>
      </c>
      <c r="J4" t="str">
        <f t="shared" si="0"/>
        <v>—</v>
      </c>
    </row>
    <row r="5" spans="1:10" x14ac:dyDescent="0.2">
      <c r="A5" t="s">
        <v>54</v>
      </c>
      <c r="B5" t="s">
        <v>60</v>
      </c>
      <c r="C5">
        <v>10</v>
      </c>
      <c r="D5">
        <v>2</v>
      </c>
      <c r="E5">
        <v>0</v>
      </c>
      <c r="F5">
        <v>0</v>
      </c>
      <c r="G5">
        <v>5</v>
      </c>
      <c r="H5">
        <f>C5*External_Links!B2 + D5*External_Links!B3 + E5*External_Links!B4 + F5*External_Links!B5</f>
        <v>0</v>
      </c>
      <c r="I5">
        <f>G5*Efficiency_Inputs!B2</f>
        <v>5</v>
      </c>
      <c r="J5">
        <f t="shared" si="0"/>
        <v>0</v>
      </c>
    </row>
    <row r="6" spans="1:10" x14ac:dyDescent="0.2">
      <c r="A6" t="s">
        <v>55</v>
      </c>
      <c r="B6" t="s">
        <v>61</v>
      </c>
      <c r="C6">
        <v>15</v>
      </c>
      <c r="D6">
        <v>0</v>
      </c>
      <c r="E6">
        <v>0</v>
      </c>
      <c r="F6">
        <v>0</v>
      </c>
      <c r="G6">
        <v>0</v>
      </c>
      <c r="H6">
        <f>C6*External_Links!B2 + D6*External_Links!B3 + E6*External_Links!B4 + F6*External_Links!B5</f>
        <v>0</v>
      </c>
      <c r="I6">
        <f>G6*Efficiency_Inputs!B2</f>
        <v>0</v>
      </c>
      <c r="J6" t="str">
        <f t="shared" si="0"/>
        <v>—</v>
      </c>
    </row>
    <row r="7" spans="1:10" x14ac:dyDescent="0.2">
      <c r="A7" t="s">
        <v>56</v>
      </c>
      <c r="B7" t="s">
        <v>62</v>
      </c>
      <c r="C7">
        <v>20</v>
      </c>
      <c r="D7">
        <v>0</v>
      </c>
      <c r="E7">
        <v>5</v>
      </c>
      <c r="F7">
        <v>0</v>
      </c>
      <c r="G7">
        <v>2</v>
      </c>
      <c r="H7">
        <f>C7*External_Links!B2 + D7*External_Links!B3 + E7*External_Links!B4 + F7*External_Links!B5</f>
        <v>0</v>
      </c>
      <c r="I7">
        <f>G7*Efficiency_Inputs!B2</f>
        <v>2</v>
      </c>
      <c r="J7">
        <f t="shared" si="0"/>
        <v>0</v>
      </c>
    </row>
    <row r="8" spans="1:10" x14ac:dyDescent="0.2">
      <c r="A8" t="s">
        <v>57</v>
      </c>
      <c r="B8" t="s">
        <v>63</v>
      </c>
      <c r="C8">
        <v>40</v>
      </c>
      <c r="D8">
        <v>4</v>
      </c>
      <c r="E8">
        <v>10</v>
      </c>
      <c r="F8">
        <v>1</v>
      </c>
      <c r="G8">
        <v>4</v>
      </c>
      <c r="H8">
        <f>C8*External_Links!B2 + D8*External_Links!B3 + E8*External_Links!B4 + F8*External_Links!B5</f>
        <v>0</v>
      </c>
      <c r="I8">
        <f>G8*Efficiency_Inputs!B2</f>
        <v>4</v>
      </c>
      <c r="J8">
        <f t="shared" si="0"/>
        <v>0</v>
      </c>
    </row>
    <row r="9" spans="1:10" x14ac:dyDescent="0.2">
      <c r="A9" t="s">
        <v>58</v>
      </c>
      <c r="B9" t="s">
        <v>223</v>
      </c>
      <c r="C9">
        <v>5</v>
      </c>
      <c r="D9">
        <v>6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4" width="28.6640625" customWidth="1"/>
  </cols>
  <sheetData>
    <row r="1" spans="1:4" x14ac:dyDescent="0.2">
      <c r="A1" s="2" t="s">
        <v>50</v>
      </c>
      <c r="B1" s="2" t="s">
        <v>81</v>
      </c>
      <c r="C1" s="2" t="s">
        <v>275</v>
      </c>
      <c r="D1" s="2" t="s">
        <v>82</v>
      </c>
    </row>
    <row r="2" spans="1:4" x14ac:dyDescent="0.2">
      <c r="A2" t="s">
        <v>50</v>
      </c>
      <c r="B2" t="str" cm="1">
        <f t="array" ref="B2">_xlfn.XLOOKUP(A2,Costs_Live!$B:$B,Costs_Live!$H:$H,0)</f>
        <v>Total_Cost_Tokens</v>
      </c>
      <c r="C2" t="str" cm="1">
        <f t="array" ref="C2">_xlfn.XLOOKUP(A2,Costs_Live!$B:$B,Costs_Live!$I:$I,0)</f>
        <v>Grace_Adjusted</v>
      </c>
      <c r="D2" t="str" cm="1">
        <f t="array" ref="D2">_xlfn.XLOOKUP(A2,Costs_Live!$B:$B,Costs_Live!$J:$J,0)</f>
        <v>Tokens_per_Grace (est)</v>
      </c>
    </row>
    <row r="3" spans="1:4" x14ac:dyDescent="0.2">
      <c r="A3" t="s">
        <v>59</v>
      </c>
      <c r="B3" cm="1">
        <f t="array" ref="B3">_xlfn.XLOOKUP(A3,Costs_Live!$B:$B,Costs_Live!$H:$H,0)</f>
        <v>0</v>
      </c>
      <c r="C3" cm="1">
        <f t="array" ref="C3">_xlfn.XLOOKUP(A3,Costs_Live!$B:$B,Costs_Live!$I:$I,0)</f>
        <v>0</v>
      </c>
      <c r="D3" t="str" cm="1">
        <f t="array" ref="D3">_xlfn.XLOOKUP(A3,Costs_Live!$B:$B,Costs_Live!$J:$J,0)</f>
        <v>—</v>
      </c>
    </row>
    <row r="4" spans="1:4" x14ac:dyDescent="0.2">
      <c r="A4" t="s">
        <v>60</v>
      </c>
      <c r="B4" cm="1">
        <f t="array" ref="B4">_xlfn.XLOOKUP(A4,Costs_Live!$B:$B,Costs_Live!$H:$H,0)</f>
        <v>0</v>
      </c>
      <c r="C4" cm="1">
        <f t="array" ref="C4">_xlfn.XLOOKUP(A4,Costs_Live!$B:$B,Costs_Live!$I:$I,0)</f>
        <v>5</v>
      </c>
      <c r="D4" cm="1">
        <f t="array" ref="D4">_xlfn.XLOOKUP(A4,Costs_Live!$B:$B,Costs_Live!$J:$J,0)</f>
        <v>0</v>
      </c>
    </row>
    <row r="5" spans="1:4" x14ac:dyDescent="0.2">
      <c r="A5" t="s">
        <v>61</v>
      </c>
      <c r="B5" cm="1">
        <f t="array" ref="B5">_xlfn.XLOOKUP(A5,Costs_Live!$B:$B,Costs_Live!$H:$H,0)</f>
        <v>0</v>
      </c>
      <c r="C5" cm="1">
        <f t="array" ref="C5">_xlfn.XLOOKUP(A5,Costs_Live!$B:$B,Costs_Live!$I:$I,0)</f>
        <v>0</v>
      </c>
      <c r="D5" t="str" cm="1">
        <f t="array" ref="D5">_xlfn.XLOOKUP(A5,Costs_Live!$B:$B,Costs_Live!$J:$J,0)</f>
        <v>—</v>
      </c>
    </row>
    <row r="6" spans="1:4" x14ac:dyDescent="0.2">
      <c r="A6" t="s">
        <v>62</v>
      </c>
      <c r="B6" cm="1">
        <f t="array" ref="B6">_xlfn.XLOOKUP(A6,Costs_Live!$B:$B,Costs_Live!$H:$H,0)</f>
        <v>0</v>
      </c>
      <c r="C6" cm="1">
        <f t="array" ref="C6">_xlfn.XLOOKUP(A6,Costs_Live!$B:$B,Costs_Live!$I:$I,0)</f>
        <v>2</v>
      </c>
      <c r="D6" cm="1">
        <f t="array" ref="D6">_xlfn.XLOOKUP(A6,Costs_Live!$B:$B,Costs_Live!$J:$J,0)</f>
        <v>0</v>
      </c>
    </row>
    <row r="7" spans="1:4" x14ac:dyDescent="0.2">
      <c r="A7" t="s">
        <v>63</v>
      </c>
      <c r="B7" cm="1">
        <f t="array" ref="B7">_xlfn.XLOOKUP(A7,Costs_Live!$B:$B,Costs_Live!$H:$H,0)</f>
        <v>0</v>
      </c>
      <c r="C7" cm="1">
        <f t="array" ref="C7">_xlfn.XLOOKUP(A7,Costs_Live!$B:$B,Costs_Live!$I:$I,0)</f>
        <v>4</v>
      </c>
      <c r="D7" cm="1">
        <f t="array" ref="D7">_xlfn.XLOOKUP(A7,Costs_Live!$B:$B,Costs_Live!$J:$J,0)</f>
        <v>0</v>
      </c>
    </row>
    <row r="8" spans="1:4" x14ac:dyDescent="0.2">
      <c r="A8" t="s">
        <v>223</v>
      </c>
      <c r="B8" cm="1">
        <f t="array" ref="B8">_xlfn.XLOOKUP(A8,Costs_Live!$B:$B,Costs_Live!$H:$H,0)</f>
        <v>0</v>
      </c>
      <c r="C8" cm="1">
        <f t="array" ref="C8">_xlfn.XLOOKUP(A8,Costs_Live!$B:$B,Costs_Live!$I:$I,0)</f>
        <v>0</v>
      </c>
      <c r="D8" cm="1">
        <f t="array" ref="D8">_xlfn.XLOOKUP(A8,Costs_Live!$B:$B,Costs_Live!$J:$J,0)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Core_Loop</vt:lpstr>
      <vt:lpstr>Ritual_Types</vt:lpstr>
      <vt:lpstr>Costs_Cooldowns</vt:lpstr>
      <vt:lpstr>Interactions</vt:lpstr>
      <vt:lpstr>Hooks</vt:lpstr>
      <vt:lpstr>Tuning_Defaults</vt:lpstr>
      <vt:lpstr>Resource_Summary</vt:lpstr>
      <vt:lpstr>Visuals_FX</vt:lpstr>
      <vt:lpstr>Computed_Metrics</vt:lpstr>
      <vt:lpstr>External_Links</vt:lpstr>
      <vt:lpstr>Efficiency_Inputs</vt:lpstr>
      <vt:lpstr>Costs_Live</vt:lpstr>
      <vt:lpstr>Chart_Costs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2025-11-01T02:43:18Z</dcterms:created>
  <dcterms:modified xsi:type="dcterms:W3CDTF">2025-11-01T02:52:53Z</dcterms:modified>
</cp:coreProperties>
</file>