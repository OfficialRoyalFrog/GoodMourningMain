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thompson/Downloads/"/>
    </mc:Choice>
  </mc:AlternateContent>
  <xr:revisionPtr revIDLastSave="0" documentId="13_ncr:1_{22D7EC20-74C2-0C45-8418-C2474F32BCFA}" xr6:coauthVersionLast="47" xr6:coauthVersionMax="47" xr10:uidLastSave="{00000000-0000-0000-0000-000000000000}"/>
  <bookViews>
    <workbookView xWindow="240" yWindow="760" windowWidth="30000" windowHeight="17200" xr2:uid="{00000000-000D-0000-FFFF-FFFF00000000}"/>
  </bookViews>
  <sheets>
    <sheet name="Increase_Events" sheetId="1" r:id="rId1"/>
    <sheet name="Decrease_Events" sheetId="2" r:id="rId2"/>
    <sheet name="Modifiers" sheetId="3" r:id="rId3"/>
    <sheet name="Special_Systems" sheetId="4" r:id="rId4"/>
    <sheet name="Temperament_Tuning" sheetId="5" r:id="rId5"/>
    <sheet name="Harmony_Mults" sheetId="6" r:id="rId6"/>
    <sheet name="Events_Index" sheetId="7" r:id="rId7"/>
    <sheet name="Tag_Map" sheetId="8" r:id="rId8"/>
    <sheet name="Tag_Weights" sheetId="9" r:id="rId9"/>
    <sheet name="Net_Day_Simulator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0" l="1" a="1"/>
  <c r="H19" i="10" s="1"/>
  <c r="I15" i="10" a="1"/>
  <c r="I15" i="10"/>
  <c r="H15" i="10" a="1"/>
  <c r="H15" i="10"/>
  <c r="E15" i="10" a="1"/>
  <c r="E15" i="10" s="1"/>
  <c r="D15" i="10" a="1"/>
  <c r="D15" i="10" s="1"/>
  <c r="B15" i="10" a="1"/>
  <c r="B15" i="10"/>
  <c r="C15" i="10" s="1" a="1"/>
  <c r="C15" i="10" s="1"/>
  <c r="I14" i="10" a="1"/>
  <c r="I14" i="10"/>
  <c r="H14" i="10" a="1"/>
  <c r="H14" i="10"/>
  <c r="E14" i="10" a="1"/>
  <c r="E14" i="10"/>
  <c r="D14" i="10" a="1"/>
  <c r="D14" i="10" s="1"/>
  <c r="B14" i="10" a="1"/>
  <c r="B14" i="10"/>
  <c r="C14" i="10" s="1" a="1"/>
  <c r="C14" i="10" s="1"/>
  <c r="I13" i="10" a="1"/>
  <c r="I13" i="10"/>
  <c r="H13" i="10" a="1"/>
  <c r="H13" i="10" s="1"/>
  <c r="E13" i="10" a="1"/>
  <c r="E13" i="10" s="1"/>
  <c r="D13" i="10" a="1"/>
  <c r="D13" i="10" s="1"/>
  <c r="B13" i="10" a="1"/>
  <c r="B13" i="10"/>
  <c r="C13" i="10" s="1" a="1"/>
  <c r="C13" i="10" s="1"/>
  <c r="I12" i="10" a="1"/>
  <c r="I12" i="10"/>
  <c r="H12" i="10" a="1"/>
  <c r="H12" i="10"/>
  <c r="E12" i="10" a="1"/>
  <c r="E12" i="10" s="1"/>
  <c r="D12" i="10" a="1"/>
  <c r="D12" i="10"/>
  <c r="B12" i="10" a="1"/>
  <c r="B12" i="10"/>
  <c r="C12" i="10" s="1" a="1"/>
  <c r="C12" i="10" s="1"/>
  <c r="I11" i="10" a="1"/>
  <c r="I11" i="10" s="1"/>
  <c r="H11" i="10" a="1"/>
  <c r="H11" i="10" s="1"/>
  <c r="E11" i="10" a="1"/>
  <c r="E11" i="10" s="1"/>
  <c r="D11" i="10" a="1"/>
  <c r="D11" i="10"/>
  <c r="B11" i="10" a="1"/>
  <c r="B11" i="10"/>
  <c r="C11" i="10" s="1" a="1"/>
  <c r="C11" i="10" s="1"/>
  <c r="I10" i="10" a="1"/>
  <c r="I10" i="10"/>
  <c r="H10" i="10" a="1"/>
  <c r="H10" i="10" s="1"/>
  <c r="E10" i="10" a="1"/>
  <c r="E10" i="10"/>
  <c r="D10" i="10" a="1"/>
  <c r="D10" i="10"/>
  <c r="B10" i="10" a="1"/>
  <c r="B10" i="10" s="1"/>
  <c r="C10" i="10" s="1" a="1"/>
  <c r="C10" i="10" s="1"/>
  <c r="I9" i="10" a="1"/>
  <c r="I9" i="10" s="1"/>
  <c r="H9" i="10" a="1"/>
  <c r="H9" i="10" s="1"/>
  <c r="E9" i="10" a="1"/>
  <c r="E9" i="10"/>
  <c r="D9" i="10" a="1"/>
  <c r="D9" i="10"/>
  <c r="C9" i="10" a="1"/>
  <c r="C9" i="10" s="1"/>
  <c r="B9" i="10" a="1"/>
  <c r="B9" i="10"/>
  <c r="I8" i="10" a="1"/>
  <c r="I8" i="10" s="1"/>
  <c r="H8" i="10" a="1"/>
  <c r="H8" i="10"/>
  <c r="E8" i="10" a="1"/>
  <c r="E8" i="10"/>
  <c r="D8" i="10" a="1"/>
  <c r="D8" i="10"/>
  <c r="B8" i="10" a="1"/>
  <c r="B8" i="10" s="1"/>
  <c r="C8" i="10" s="1" a="1"/>
  <c r="C8" i="10" s="1"/>
  <c r="I7" i="10" a="1"/>
  <c r="I7" i="10" s="1"/>
  <c r="H7" i="10" a="1"/>
  <c r="H7" i="10"/>
  <c r="E7" i="10" a="1"/>
  <c r="E7" i="10"/>
  <c r="D7" i="10" a="1"/>
  <c r="D7" i="10"/>
  <c r="B7" i="10" a="1"/>
  <c r="B7" i="10" s="1"/>
  <c r="C7" i="10" s="1" a="1"/>
  <c r="C7" i="10" s="1"/>
  <c r="I6" i="10" a="1"/>
  <c r="I6" i="10"/>
  <c r="H6" i="10" a="1"/>
  <c r="H6" i="10"/>
  <c r="E6" i="10" a="1"/>
  <c r="E6" i="10"/>
  <c r="D6" i="10" a="1"/>
  <c r="D6" i="10" s="1"/>
  <c r="B6" i="10" a="1"/>
  <c r="B6" i="10" s="1"/>
  <c r="C6" i="10" s="1" a="1"/>
  <c r="C6" i="10" s="1"/>
  <c r="I5" i="10" a="1"/>
  <c r="I5" i="10" s="1"/>
  <c r="E5" i="10" a="1"/>
  <c r="E5" i="10" s="1"/>
  <c r="D5" i="10" a="1"/>
  <c r="D5" i="10" s="1"/>
  <c r="H5" i="10" s="1" a="1"/>
  <c r="H5" i="10" s="1"/>
  <c r="B5" i="10" a="1"/>
  <c r="B5" i="10" s="1"/>
  <c r="C5" i="10" s="1" a="1"/>
  <c r="C5" i="10" s="1"/>
  <c r="I4" i="10" a="1"/>
  <c r="I4" i="10" s="1"/>
  <c r="E4" i="10" a="1"/>
  <c r="E4" i="10" s="1"/>
  <c r="D4" i="10" a="1"/>
  <c r="D4" i="10" s="1"/>
  <c r="H4" i="10" s="1" a="1"/>
  <c r="H4" i="10" s="1"/>
  <c r="B4" i="10" a="1"/>
  <c r="B4" i="10" s="1"/>
  <c r="C4" i="10" s="1" a="1"/>
  <c r="C4" i="10" s="1"/>
  <c r="B1" i="10" a="1"/>
  <c r="B1" i="10"/>
  <c r="H18" i="10" s="1"/>
  <c r="H17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<sst xmlns="http://schemas.openxmlformats.org/spreadsheetml/2006/main" count="796" uniqueCount="356">
  <si>
    <t>Category</t>
  </si>
  <si>
    <t>Event</t>
  </si>
  <si>
    <t>Base Change</t>
  </si>
  <si>
    <t>Conditional Modifiers</t>
  </si>
  <si>
    <t>Notes</t>
  </si>
  <si>
    <t>Care / Feeding</t>
  </si>
  <si>
    <t>Social / Bonding</t>
  </si>
  <si>
    <t>Work / Tasks</t>
  </si>
  <si>
    <t>Requests</t>
  </si>
  <si>
    <t>Rituals</t>
  </si>
  <si>
    <t>Environment / Comfort</t>
  </si>
  <si>
    <t>Harmony / Global</t>
  </si>
  <si>
    <t>Dungeon / Adventure</t>
  </si>
  <si>
    <t>Funny / Dark</t>
  </si>
  <si>
    <t>Feed a ghost an Offering</t>
  </si>
  <si>
    <t>Feed Ectofruit (full appetite)</t>
  </si>
  <si>
    <t>Serve a warm drink at dusk</t>
  </si>
  <si>
    <t>Share a sweet (honey pebble)</t>
  </si>
  <si>
    <t>Midnight snack patrol</t>
  </si>
  <si>
    <t>Gift a small trinket</t>
  </si>
  <si>
    <t>Gift a charm fragment keepsake</t>
  </si>
  <si>
    <t>Storytime / Campfire</t>
  </si>
  <si>
    <t>Hug (consensual, spectral)</t>
  </si>
  <si>
    <t>Play tag in the garden</t>
  </si>
  <si>
    <t>Place fresh flowers at grave-bed</t>
  </si>
  <si>
    <t>Compliment someone’s sheet</t>
  </si>
  <si>
    <t>Complete assigned task</t>
  </si>
  <si>
    <t>Perfect cleanup streak (3 puddles)</t>
  </si>
  <si>
    <t>Help build a structure</t>
  </si>
  <si>
    <t>Alchemist brews without mishap</t>
  </si>
  <si>
    <t>Complete a personal request</t>
  </si>
  <si>
    <t>Complete two in a day</t>
  </si>
  <si>
    <t>Share tea with a Bright ghost</t>
  </si>
  <si>
    <t>Resolve a feud peacefully</t>
  </si>
  <si>
    <t>Feast of Remembrance</t>
  </si>
  <si>
    <t>Cleansing Wake (clear Rot)</t>
  </si>
  <si>
    <t>Peaceful Release (happy ghost)</t>
  </si>
  <si>
    <t>Festival of Peace (night)</t>
  </si>
  <si>
    <t>Binding Ceremony (welcomed)</t>
  </si>
  <si>
    <t>Build a new structure</t>
  </si>
  <si>
    <t>Place decoration (cute/creepy)</t>
  </si>
  <si>
    <t>Light lantern (first time)</t>
  </si>
  <si>
    <t>Upgrade shelter/bed</t>
  </si>
  <si>
    <t>Day ends ≥ 70% avg Contentment</t>
  </si>
  <si>
    <t>No leaks today</t>
  </si>
  <si>
    <t>Perfect day (≥ 80% + no Rot)</t>
  </si>
  <si>
    <t>Rescue trapped soul</t>
  </si>
  <si>
    <t>Defeat boss (clean extract)</t>
  </si>
  <si>
    <t>Find a cozy Alchemy Room</t>
  </si>
  <si>
    <t>Compliment someone’s spooky hat</t>
  </si>
  <si>
    <t>Wholesome prank (no damage)</t>
  </si>
  <si>
    <t>Candlelit choir (off-key)</t>
  </si>
  <si>
    <t>+2 if Bright; +1 if Bond ≥ 3</t>
  </si>
  <si>
    <t>+5 if Mournful</t>
  </si>
  <si>
    <t>+2 if Lonely; +1 if night is rainy</t>
  </si>
  <si>
    <t>+2 if Trickster; -1 if Cold</t>
  </si>
  <si>
    <t>+2 if Anxious; -1 if caught by Sentinel</t>
  </si>
  <si>
    <t>+2 if Trickster or Lonely</t>
  </si>
  <si>
    <t>+2 if Mournful</t>
  </si>
  <si>
    <t>+2 if Bright nearby; +1 per Lament Lily in radius</t>
  </si>
  <si>
    <t>+2 if Bond ≥ 2; -2 if Cold</t>
  </si>
  <si>
    <t>+2 if Trickster; +1 if lanterns lit</t>
  </si>
  <si>
    <t>+2 if Mournful; +1 if Whisperbloom</t>
  </si>
  <si>
    <t>+2 if Fashionista; -1 if Spiteful</t>
  </si>
  <si>
    <t>+2 if Stoic; +1 if RoleFit high</t>
  </si>
  <si>
    <t>+2 if Gloomy; +1 if in lantern light</t>
  </si>
  <si>
    <t>+2 if Builder; +1 if near Storyteller</t>
  </si>
  <si>
    <t>+2 if Fanatic; +1 if Joyblossom used</t>
  </si>
  <si>
    <t>+4 if Temperament-aligned</t>
  </si>
  <si>
    <t>+2 Harmony Bonus</t>
  </si>
  <si>
    <t>+2 if dusk; +1 if Bond ≥ 3</t>
  </si>
  <si>
    <t>+3 if Spiteful involved</t>
  </si>
  <si>
    <t>+5 if Fanatic or Bright; +1 per table</t>
  </si>
  <si>
    <t>+3 per Rot cleared nearby</t>
  </si>
  <si>
    <t>+5 if mourners present</t>
  </si>
  <si>
    <t>+3 if Peacebud appears</t>
  </si>
  <si>
    <t>+2 if Garden bloomed today</t>
  </si>
  <si>
    <t>+2 if Garden/Light zone</t>
  </si>
  <si>
    <t>+3 if False Idols analog; -1 if Gloomy</t>
  </si>
  <si>
    <t>+3 if Cold ghosts present</t>
  </si>
  <si>
    <t>+2 if Materialistic ghost nearby</t>
  </si>
  <si>
    <t>+5 Grace Bonus next day</t>
  </si>
  <si>
    <t>+2 extra if NightSurgesCleansed ≥ 1</t>
  </si>
  <si>
    <t>+1 Memoria if a release occurred</t>
  </si>
  <si>
    <t>+4 if Bound gently</t>
  </si>
  <si>
    <t>+5 if Companion returns happy</t>
  </si>
  <si>
    <t>+2 if brew succeeds</t>
  </si>
  <si>
    <t>+3 if hat is actually a bat</t>
  </si>
  <si>
    <t>+2 if Trickster; -2 if Stoic sees</t>
  </si>
  <si>
    <t>+1 if Fanatic leads; -1 if Cold present</t>
  </si>
  <si>
    <t>Warm bellies, warmer hearts.</t>
  </si>
  <si>
    <t>Ectofruit tastes like childhood and lightning.</t>
  </si>
  <si>
    <t>Tea-steam curls like a ghost’s smile.</t>
  </si>
  <si>
    <t>Sticky fingers, sticky souls.</t>
  </si>
  <si>
    <t>‘Who ate the last bun?’ ‘…ghosts.’</t>
  </si>
  <si>
    <t>‘It’s nothing.’ (It’s everything.)</t>
  </si>
  <si>
    <t>Pocket thunder for brave little hearts.</t>
  </si>
  <si>
    <t>Laughter is a ward against the dark.</t>
  </si>
  <si>
    <t>Arms full of static and relief.</t>
  </si>
  <si>
    <t>Haunt and seek.</t>
  </si>
  <si>
    <t>Petals remember what we forget.</t>
  </si>
  <si>
    <t>‘You’re glowing!’ ‘It’s the ecto.’</t>
  </si>
  <si>
    <t>Steady hands make steadier spirits.</t>
  </si>
  <si>
    <t>Mop-tango with the abyss.</t>
  </si>
  <si>
    <t>Hammer choir sings a brave song.</t>
  </si>
  <si>
    <t>No explosion? A miracle!</t>
  </si>
  <si>
    <t>That was important to them; now it is to you.</t>
  </si>
  <si>
    <t>Manager? No. Caretaker.</t>
  </si>
  <si>
    <t>Cups rattle. Hearts settle.</t>
  </si>
  <si>
    <t>‘I will break nothing… for now.’</t>
  </si>
  <si>
    <t>Ghosts like seconds. And thirds.</t>
  </si>
  <si>
    <t>A bell, a breath, the world loosens.</t>
  </si>
  <si>
    <t>Grief like silk; Grace like sunrise.</t>
  </si>
  <si>
    <t>Lantern constellations applauding.</t>
  </si>
  <si>
    <t>‘Stay awhile; we remembered you.’</t>
  </si>
  <si>
    <t>Stone against the storm.</t>
  </si>
  <si>
    <t>Tastefully haunted.</t>
  </si>
  <si>
    <t>A hush, then a softer night.</t>
  </si>
  <si>
    <t>Sheets like moonlight.</t>
  </si>
  <si>
    <t>‘We held together.’</t>
  </si>
  <si>
    <t>Dry floors, warm hearts.</t>
  </si>
  <si>
    <t>The dead hum approval.</t>
  </si>
  <si>
    <t>A small stranger, already familiar.</t>
  </si>
  <si>
    <t>Memories unknotted; pockets full.</t>
  </si>
  <si>
    <t>Campfire chemistry and giggles.</t>
  </si>
  <si>
    <t>‘It squeaks on applause.’</t>
  </si>
  <si>
    <t>Walls giggle for hours.</t>
  </si>
  <si>
    <t>Haunting in E minor.</t>
  </si>
  <si>
    <t>Neglect</t>
  </si>
  <si>
    <t>Ritual</t>
  </si>
  <si>
    <t>World / Decay</t>
  </si>
  <si>
    <t>Social / Conflict</t>
  </si>
  <si>
    <t>Dungeon</t>
  </si>
  <si>
    <t>Starving (Appetite = 0)</t>
  </si>
  <si>
    <t>Uncleaned Manifest puddle nearby</t>
  </si>
  <si>
    <t>No lantern coverage at night</t>
  </si>
  <si>
    <t>Ignored request</t>
  </si>
  <si>
    <t>Failed request</t>
  </si>
  <si>
    <t>Missed Feast day</t>
  </si>
  <si>
    <t>Binding (unwilling)</t>
  </si>
  <si>
    <t>Banish ghost publicly</t>
  </si>
  <si>
    <t>Sacrifice-y event without belief</t>
  </si>
  <si>
    <t>Unrepaired building damage</t>
  </si>
  <si>
    <t>Night surge without lantern</t>
  </si>
  <si>
    <t>Rot puddle within rest zone</t>
  </si>
  <si>
    <t>Public scolding</t>
  </si>
  <si>
    <t>Break up fight (harshly)</t>
  </si>
  <si>
    <t>Remove a charm from ghost</t>
  </si>
  <si>
    <t>Died during a shard run</t>
  </si>
  <si>
    <t>Trigger trap in front of all</t>
  </si>
  <si>
    <t>Abandon trapped soul</t>
  </si>
  <si>
    <t>Wake a ghost at night</t>
  </si>
  <si>
    <t>Interrupt a ghost mid-song</t>
  </si>
  <si>
    <t>Serve Grassy Gruel (no trait)</t>
  </si>
  <si>
    <t>Trip on your own ecto-mop</t>
  </si>
  <si>
    <t>-15 if Gloomy or Fanatic</t>
  </si>
  <si>
    <t>-2 if Cold; -8 if Bright</t>
  </si>
  <si>
    <t>-2 if Lonely; -10 if Anxious</t>
  </si>
  <si>
    <t>-12 if Trickster or Bright</t>
  </si>
  <si>
    <t>-20 if Bond ≥ 3</t>
  </si>
  <si>
    <t>-5 if Cold</t>
  </si>
  <si>
    <t>-5 if Fanatic</t>
  </si>
  <si>
    <t>-10 if Stoic, -30 if Bright</t>
  </si>
  <si>
    <t>-5 if Fanatic, -15 if Spiteful watching</t>
  </si>
  <si>
    <t>-3 if Stoic</t>
  </si>
  <si>
    <t>-10 if Cold; -20 if Bright</t>
  </si>
  <si>
    <t>-4 if Warded Chamber nearby</t>
  </si>
  <si>
    <t>-10 if Lonely</t>
  </si>
  <si>
    <t>-3 if Stoic; -7 if Fanatic present</t>
  </si>
  <si>
    <t>-10 if Bond ≥ 3</t>
  </si>
  <si>
    <t>-5 if Companion returns happy</t>
  </si>
  <si>
    <t>-6 if Trickster laughs</t>
  </si>
  <si>
    <t>-20 if Mournful present</t>
  </si>
  <si>
    <t>-7 if Anxious</t>
  </si>
  <si>
    <t>-3 if Fanatic solo</t>
  </si>
  <si>
    <t>-1 if Trickster finds it funny</t>
  </si>
  <si>
    <t>+2 if everyone laughs together</t>
  </si>
  <si>
    <t>Hunger gnaws through sheet and soul.</t>
  </si>
  <si>
    <t>Cold toes. Colder moods.</t>
  </si>
  <si>
    <t>Shadows do pushups.</t>
  </si>
  <si>
    <t>‘You heard me not at all.’</t>
  </si>
  <si>
    <t>Promises are fragile.</t>
  </si>
  <si>
    <t>Rumbles you can hear.</t>
  </si>
  <si>
    <t>Anchor burns.</t>
  </si>
  <si>
    <t>Silence falls like a gavel.</t>
  </si>
  <si>
    <t>Philosophical indigestion.</t>
  </si>
  <si>
    <t>Cracks invite whispers.</t>
  </si>
  <si>
    <t>Panic is contagious.</t>
  </si>
  <si>
    <t>Smells like yesterday’s regrets.</t>
  </si>
  <si>
    <t>Shame lingers like smoke.</t>
  </si>
  <si>
    <t>‘Use your inside haunts.’</t>
  </si>
  <si>
    <t>Bare wrists feel colder.</t>
  </si>
  <si>
    <t>Echoes get quiet.</t>
  </si>
  <si>
    <t>‘I meant to do that.’</t>
  </si>
  <si>
    <t>Garden wilts a little.</t>
  </si>
  <si>
    <t>They were counting… sheepless.</t>
  </si>
  <si>
    <t>Theatrical resentment.</t>
  </si>
  <si>
    <t>Lawn clippings à la gloom.</t>
  </si>
  <si>
    <t>Comedy cures… mostly.</t>
  </si>
  <si>
    <t>Type</t>
  </si>
  <si>
    <t>Name</t>
  </si>
  <si>
    <t>Effect</t>
  </si>
  <si>
    <t>Temperament</t>
  </si>
  <si>
    <t>Trait</t>
  </si>
  <si>
    <t>Global</t>
  </si>
  <si>
    <t>Context</t>
  </si>
  <si>
    <t>Bright</t>
  </si>
  <si>
    <t>Mournful</t>
  </si>
  <si>
    <t>Trickster</t>
  </si>
  <si>
    <t>Spiteful</t>
  </si>
  <si>
    <t>Cold</t>
  </si>
  <si>
    <t>Gloomy</t>
  </si>
  <si>
    <t>Lonely</t>
  </si>
  <si>
    <t>Anxious</t>
  </si>
  <si>
    <t>Stoic</t>
  </si>
  <si>
    <t>Materialistic</t>
  </si>
  <si>
    <t>Fashionista</t>
  </si>
  <si>
    <t>False Idols analog</t>
  </si>
  <si>
    <t>Cannibal analog</t>
  </si>
  <si>
    <t>Harmony Tier: Calm</t>
  </si>
  <si>
    <t>Harmony Tier: Steady</t>
  </si>
  <si>
    <t>Harmony Tier: Wobbly</t>
  </si>
  <si>
    <t>Harmony Tier: Frayed</t>
  </si>
  <si>
    <t>Lantern Aura</t>
  </si>
  <si>
    <t>Rot Proximity</t>
  </si>
  <si>
    <t>Garden Auras</t>
  </si>
  <si>
    <t>+10% to positive events; -10% to negative</t>
  </si>
  <si>
    <t>+5 flat on Release/Grave tending; +2 on Whisperbloom</t>
  </si>
  <si>
    <t>±20% variance on social &amp; gift events</t>
  </si>
  <si>
    <t>-10% to positive; +5 on repairs done right</t>
  </si>
  <si>
    <t>+10% work success events; ignores some socials</t>
  </si>
  <si>
    <t>-5 on Feast &amp; decor; +3 on cleanup streaks</t>
  </si>
  <si>
    <t>+10% on hugs/companionship; -10% on isolation</t>
  </si>
  <si>
    <t>+10% when given structure; -10% when idle</t>
  </si>
  <si>
    <t>+5 on task completion; -5 on pranks</t>
  </si>
  <si>
    <t>+2 on bed/shelter upgrades</t>
  </si>
  <si>
    <t>+3 when receiving unique robe</t>
  </si>
  <si>
    <t>+3 on new decorations</t>
  </si>
  <si>
    <t>+5 on… questionable feast</t>
  </si>
  <si>
    <t>+20% positive; -10% negative</t>
  </si>
  <si>
    <t>+10% positive; -5% negative</t>
  </si>
  <si>
    <t>+5% positive; 0% negative</t>
  </si>
  <si>
    <t>0% positive; +10% negative</t>
  </si>
  <si>
    <t>+1 / min in light (dampens negatives)</t>
  </si>
  <si>
    <t>-1 / min near Rot</t>
  </si>
  <si>
    <t>+0.2–0.5 / min in bloom</t>
  </si>
  <si>
    <t>Spreads cheer in small radius</t>
  </si>
  <si>
    <t>When seen, the garden sighs in relief</t>
  </si>
  <si>
    <t>Adds ‘prank ripple’ (+/-1 to nearby)</t>
  </si>
  <si>
    <t>Respect is earned loudly</t>
  </si>
  <si>
    <t>Likes lanterns; dislikes compliments</t>
  </si>
  <si>
    <t>Melancholy maintenance</t>
  </si>
  <si>
    <t>Pair them near beds/campfires</t>
  </si>
  <si>
    <t>Checklist is a love letter</t>
  </si>
  <si>
    <t>Nods are basically applause</t>
  </si>
  <si>
    <t>The finer shrouds</t>
  </si>
  <si>
    <t>‘It has pockets (of despair).’</t>
  </si>
  <si>
    <t>A tasteful shrine to themselves</t>
  </si>
  <si>
    <t>Ew/aw balance</t>
  </si>
  <si>
    <t>Banner: ‘Peace, for now.’</t>
  </si>
  <si>
    <t>Banner: ‘We held together.’</t>
  </si>
  <si>
    <t>Banner: ‘A near thing.’</t>
  </si>
  <si>
    <t>Banner: ‘Barely holding on.’</t>
  </si>
  <si>
    <t>Stronger at night</t>
  </si>
  <si>
    <t>Cleansing flips sign for 1 min (+1)</t>
  </si>
  <si>
    <t>Mirthpetal boosts Bond XP too</t>
  </si>
  <si>
    <t>System</t>
  </si>
  <si>
    <t>Behavior</t>
  </si>
  <si>
    <t>Effect on Contentment</t>
  </si>
  <si>
    <t>Lanterns</t>
  </si>
  <si>
    <t>Rot &amp; Contagion</t>
  </si>
  <si>
    <t>Harmony Tiers</t>
  </si>
  <si>
    <t>Campfire / Storytime</t>
  </si>
  <si>
    <t>Companion Mood (Runs)</t>
  </si>
  <si>
    <t>Ritual Momentum</t>
  </si>
  <si>
    <t>Ghosts in calm radius gain +1 / min Contentment; negatives dampened by 40–50%.</t>
  </si>
  <si>
    <t>Standing near Rot: -1 / min; Cleansing flips to +1 for the next minute (relief).</t>
  </si>
  <si>
    <t>Calm/Steady/Wobbly/Frayed apply global multipliers to gains/losses.</t>
  </si>
  <si>
    <t>Bloom auras add +0.2–0.5 / min; Lament Lily reduces Flicker at night.</t>
  </si>
  <si>
    <t>+6 burst and small Bond XP to attendees; more at dusk.</t>
  </si>
  <si>
    <t>Happy companion reduces mishaps and adds passive drops; grumpy companion spawns pranks.</t>
  </si>
  <si>
    <t>Doing rituals in sequence adds +1–3 to gains for the day (soft streak).</t>
  </si>
  <si>
    <t>Lighting tier and time of day</t>
  </si>
  <si>
    <t>Cleansing ritual; Janitor streaks</t>
  </si>
  <si>
    <t>Daily Harmony score</t>
  </si>
  <si>
    <t>Flower type &amp; fertilizer</t>
  </si>
  <si>
    <t>Storyteller presence</t>
  </si>
  <si>
    <t>Bond level; Temperament</t>
  </si>
  <si>
    <t>Cooldown management</t>
  </si>
  <si>
    <t>Place near beds and busy stations.</t>
  </si>
  <si>
    <t>Use lanterns to slow spread until cleaned.</t>
  </si>
  <si>
    <t>Shown on bedtime banner; grants next-day Grace bonus.</t>
  </si>
  <si>
    <t>Decor + function with cute/creepy flavor.</t>
  </si>
  <si>
    <t>Stack with lantern calm to buffer night.</t>
  </si>
  <si>
    <t>Talking solves almost everything.</t>
  </si>
  <si>
    <t>Caution: night rituals still spook (-15).</t>
  </si>
  <si>
    <t>PositiveMultiplier</t>
  </si>
  <si>
    <t>NegativeMultiplier</t>
  </si>
  <si>
    <t>SocialBias</t>
  </si>
  <si>
    <t>WorkBias</t>
  </si>
  <si>
    <t>Fanatic</t>
  </si>
  <si>
    <t>HarmonyTier</t>
  </si>
  <si>
    <t>Beaming chaos; spreads cheer to nearby.</t>
  </si>
  <si>
    <t>Grief-tender; flowers and Releases hit harder.</t>
  </si>
  <si>
    <t>Unreliable fun; ± variance handled narratively.</t>
  </si>
  <si>
    <t>Respect through competence; hates cutesy events.</t>
  </si>
  <si>
    <t>Ignores fluff; loves lantern discipline.</t>
  </si>
  <si>
    <t>Melancholy maintenance; cleanup feels good.</t>
  </si>
  <si>
    <t>Thrives near people and light.</t>
  </si>
  <si>
    <t>Checklist calm; idle panic.</t>
  </si>
  <si>
    <t>Steady output; scowls at pranks.</t>
  </si>
  <si>
    <t>Loves upgrades &amp; beds.</t>
  </si>
  <si>
    <t>Ritual highs and lows amplified.</t>
  </si>
  <si>
    <t>Multiplier applied via Harmony Tier choice in Simulator.</t>
  </si>
  <si>
    <t>Multiplier</t>
  </si>
  <si>
    <t>Banner</t>
  </si>
  <si>
    <t>Calm</t>
  </si>
  <si>
    <t>Steady</t>
  </si>
  <si>
    <t>Wobbly</t>
  </si>
  <si>
    <t>Frayed</t>
  </si>
  <si>
    <t>Peace, for now.</t>
  </si>
  <si>
    <t>We held together.</t>
  </si>
  <si>
    <t>A near thing.</t>
  </si>
  <si>
    <t>Barely holding on.</t>
  </si>
  <si>
    <t>Base</t>
  </si>
  <si>
    <t>Modifiers</t>
  </si>
  <si>
    <t>Polarity</t>
  </si>
  <si>
    <t>Increase</t>
  </si>
  <si>
    <t>Decrease</t>
  </si>
  <si>
    <t>Tag</t>
  </si>
  <si>
    <t>Care</t>
  </si>
  <si>
    <t>Social</t>
  </si>
  <si>
    <t>Work</t>
  </si>
  <si>
    <t>Environment</t>
  </si>
  <si>
    <t>Harmony</t>
  </si>
  <si>
    <t>Humor</t>
  </si>
  <si>
    <t>World</t>
  </si>
  <si>
    <t>Conflict</t>
  </si>
  <si>
    <t>Weight</t>
  </si>
  <si>
    <t>Feeding/comfort care events</t>
  </si>
  <si>
    <t>Group/social bonding activities</t>
  </si>
  <si>
    <t>Task/work success and cleanup</t>
  </si>
  <si>
    <t>Personal favors and mini-quests</t>
  </si>
  <si>
    <t>Altar ceremonies and effects</t>
  </si>
  <si>
    <t>Decor/lighting/build upgrades</t>
  </si>
  <si>
    <t>Daily tier multipliers, banners</t>
  </si>
  <si>
    <t>On-run events and rescues</t>
  </si>
  <si>
    <t>Silly/chaotic moments</t>
  </si>
  <si>
    <t>Neglect penalties (hunger, no lanterns)</t>
  </si>
  <si>
    <t>Decay, rot, damage, night surges</t>
  </si>
  <si>
    <t>Fights, scolding, harsh choices</t>
  </si>
  <si>
    <t>Harmony Tier</t>
  </si>
  <si>
    <t>Count</t>
  </si>
  <si>
    <t>Adjusted Δ</t>
  </si>
  <si>
    <t>Net Δ</t>
  </si>
  <si>
    <t>Harmony Tier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</si>
</sst>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2" fontId="0" fillId="0" borderId="0" xfId="0" applyNumberFormat="1"/>
  </cellXfs>
  <cellStyles count="1">
    <cellStyle name="Normal" xfId="0" builtinId="0"/>
  </cellStyles>
  <dxfs count="2">
    <dxf>
      <fill>
        <patternFill>
          <bgColor rgb="FFFDE2E1"/>
        </patternFill>
      </fill>
    </dxf>
    <dxf>
      <fill>
        <patternFill>
          <bgColor rgb="FFEAFB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B27" sqref="B27"/>
    </sheetView>
  </sheetViews>
  <sheetFormatPr baseColWidth="10" defaultColWidth="8.83203125" defaultRowHeight="15" x14ac:dyDescent="0.2"/>
  <cols>
    <col min="1" max="1" width="18.83203125" bestFit="1" customWidth="1"/>
    <col min="2" max="2" width="27.83203125" bestFit="1" customWidth="1"/>
    <col min="3" max="3" width="10.6640625" bestFit="1" customWidth="1"/>
    <col min="4" max="4" width="37" bestFit="1" customWidth="1"/>
    <col min="5" max="5" width="35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14</v>
      </c>
      <c r="C2">
        <v>5</v>
      </c>
      <c r="D2" t="s">
        <v>52</v>
      </c>
      <c r="E2" t="s">
        <v>90</v>
      </c>
    </row>
    <row r="3" spans="1:5" x14ac:dyDescent="0.2">
      <c r="A3" t="s">
        <v>5</v>
      </c>
      <c r="B3" t="s">
        <v>15</v>
      </c>
      <c r="C3">
        <v>10</v>
      </c>
      <c r="D3" t="s">
        <v>53</v>
      </c>
      <c r="E3" t="s">
        <v>91</v>
      </c>
    </row>
    <row r="4" spans="1:5" x14ac:dyDescent="0.2">
      <c r="A4" t="s">
        <v>5</v>
      </c>
      <c r="B4" t="s">
        <v>16</v>
      </c>
      <c r="C4">
        <v>4</v>
      </c>
      <c r="D4" t="s">
        <v>54</v>
      </c>
      <c r="E4" t="s">
        <v>92</v>
      </c>
    </row>
    <row r="5" spans="1:5" x14ac:dyDescent="0.2">
      <c r="A5" t="s">
        <v>5</v>
      </c>
      <c r="B5" t="s">
        <v>17</v>
      </c>
      <c r="C5">
        <v>3</v>
      </c>
      <c r="D5" t="s">
        <v>55</v>
      </c>
      <c r="E5" t="s">
        <v>93</v>
      </c>
    </row>
    <row r="6" spans="1:5" x14ac:dyDescent="0.2">
      <c r="A6" t="s">
        <v>5</v>
      </c>
      <c r="B6" t="s">
        <v>18</v>
      </c>
      <c r="C6">
        <v>2</v>
      </c>
      <c r="D6" t="s">
        <v>56</v>
      </c>
      <c r="E6" t="s">
        <v>94</v>
      </c>
    </row>
    <row r="7" spans="1:5" x14ac:dyDescent="0.2">
      <c r="A7" t="s">
        <v>6</v>
      </c>
      <c r="B7" t="s">
        <v>19</v>
      </c>
      <c r="C7">
        <v>4</v>
      </c>
      <c r="D7" t="s">
        <v>57</v>
      </c>
      <c r="E7" t="s">
        <v>95</v>
      </c>
    </row>
    <row r="8" spans="1:5" x14ac:dyDescent="0.2">
      <c r="A8" t="s">
        <v>6</v>
      </c>
      <c r="B8" t="s">
        <v>20</v>
      </c>
      <c r="C8">
        <v>6</v>
      </c>
      <c r="D8" t="s">
        <v>58</v>
      </c>
      <c r="E8" t="s">
        <v>96</v>
      </c>
    </row>
    <row r="9" spans="1:5" x14ac:dyDescent="0.2">
      <c r="A9" t="s">
        <v>6</v>
      </c>
      <c r="B9" t="s">
        <v>21</v>
      </c>
      <c r="C9">
        <v>6</v>
      </c>
      <c r="D9" t="s">
        <v>59</v>
      </c>
      <c r="E9" t="s">
        <v>97</v>
      </c>
    </row>
    <row r="10" spans="1:5" x14ac:dyDescent="0.2">
      <c r="A10" t="s">
        <v>6</v>
      </c>
      <c r="B10" t="s">
        <v>22</v>
      </c>
      <c r="C10">
        <v>3</v>
      </c>
      <c r="D10" t="s">
        <v>60</v>
      </c>
      <c r="E10" t="s">
        <v>98</v>
      </c>
    </row>
    <row r="11" spans="1:5" x14ac:dyDescent="0.2">
      <c r="A11" t="s">
        <v>6</v>
      </c>
      <c r="B11" t="s">
        <v>23</v>
      </c>
      <c r="C11">
        <v>5</v>
      </c>
      <c r="D11" t="s">
        <v>61</v>
      </c>
      <c r="E11" t="s">
        <v>99</v>
      </c>
    </row>
    <row r="12" spans="1:5" x14ac:dyDescent="0.2">
      <c r="A12" t="s">
        <v>6</v>
      </c>
      <c r="B12" t="s">
        <v>24</v>
      </c>
      <c r="C12">
        <v>5</v>
      </c>
      <c r="D12" t="s">
        <v>62</v>
      </c>
      <c r="E12" t="s">
        <v>100</v>
      </c>
    </row>
    <row r="13" spans="1:5" x14ac:dyDescent="0.2">
      <c r="A13" t="s">
        <v>6</v>
      </c>
      <c r="B13" t="s">
        <v>25</v>
      </c>
      <c r="C13">
        <v>2</v>
      </c>
      <c r="D13" t="s">
        <v>63</v>
      </c>
      <c r="E13" t="s">
        <v>101</v>
      </c>
    </row>
    <row r="14" spans="1:5" x14ac:dyDescent="0.2">
      <c r="A14" t="s">
        <v>7</v>
      </c>
      <c r="B14" t="s">
        <v>26</v>
      </c>
      <c r="C14">
        <v>3</v>
      </c>
      <c r="D14" t="s">
        <v>64</v>
      </c>
      <c r="E14" t="s">
        <v>102</v>
      </c>
    </row>
    <row r="15" spans="1:5" x14ac:dyDescent="0.2">
      <c r="A15" t="s">
        <v>7</v>
      </c>
      <c r="B15" t="s">
        <v>27</v>
      </c>
      <c r="C15">
        <v>6</v>
      </c>
      <c r="D15" t="s">
        <v>65</v>
      </c>
      <c r="E15" t="s">
        <v>103</v>
      </c>
    </row>
    <row r="16" spans="1:5" x14ac:dyDescent="0.2">
      <c r="A16" t="s">
        <v>7</v>
      </c>
      <c r="B16" t="s">
        <v>28</v>
      </c>
      <c r="C16">
        <v>3</v>
      </c>
      <c r="D16" t="s">
        <v>66</v>
      </c>
      <c r="E16" t="s">
        <v>104</v>
      </c>
    </row>
    <row r="17" spans="1:5" x14ac:dyDescent="0.2">
      <c r="A17" t="s">
        <v>7</v>
      </c>
      <c r="B17" t="s">
        <v>29</v>
      </c>
      <c r="C17">
        <v>4</v>
      </c>
      <c r="D17" t="s">
        <v>67</v>
      </c>
      <c r="E17" t="s">
        <v>105</v>
      </c>
    </row>
    <row r="18" spans="1:5" x14ac:dyDescent="0.2">
      <c r="A18" t="s">
        <v>8</v>
      </c>
      <c r="B18" t="s">
        <v>30</v>
      </c>
      <c r="C18">
        <v>8</v>
      </c>
      <c r="D18" t="s">
        <v>68</v>
      </c>
      <c r="E18" t="s">
        <v>106</v>
      </c>
    </row>
    <row r="19" spans="1:5" x14ac:dyDescent="0.2">
      <c r="A19" t="s">
        <v>8</v>
      </c>
      <c r="B19" t="s">
        <v>31</v>
      </c>
      <c r="C19">
        <v>10</v>
      </c>
      <c r="D19" t="s">
        <v>69</v>
      </c>
      <c r="E19" t="s">
        <v>107</v>
      </c>
    </row>
    <row r="20" spans="1:5" x14ac:dyDescent="0.2">
      <c r="A20" t="s">
        <v>8</v>
      </c>
      <c r="B20" t="s">
        <v>32</v>
      </c>
      <c r="C20">
        <v>6</v>
      </c>
      <c r="D20" t="s">
        <v>70</v>
      </c>
      <c r="E20" t="s">
        <v>108</v>
      </c>
    </row>
    <row r="21" spans="1:5" x14ac:dyDescent="0.2">
      <c r="A21" t="s">
        <v>8</v>
      </c>
      <c r="B21" t="s">
        <v>33</v>
      </c>
      <c r="C21">
        <v>7</v>
      </c>
      <c r="D21" t="s">
        <v>71</v>
      </c>
      <c r="E21" t="s">
        <v>109</v>
      </c>
    </row>
    <row r="22" spans="1:5" x14ac:dyDescent="0.2">
      <c r="A22" t="s">
        <v>9</v>
      </c>
      <c r="B22" t="s">
        <v>34</v>
      </c>
      <c r="C22">
        <v>15</v>
      </c>
      <c r="D22" t="s">
        <v>72</v>
      </c>
      <c r="E22" t="s">
        <v>110</v>
      </c>
    </row>
    <row r="23" spans="1:5" x14ac:dyDescent="0.2">
      <c r="A23" t="s">
        <v>9</v>
      </c>
      <c r="B23" t="s">
        <v>35</v>
      </c>
      <c r="C23">
        <v>10</v>
      </c>
      <c r="D23" t="s">
        <v>73</v>
      </c>
      <c r="E23" t="s">
        <v>111</v>
      </c>
    </row>
    <row r="24" spans="1:5" x14ac:dyDescent="0.2">
      <c r="A24" t="s">
        <v>9</v>
      </c>
      <c r="B24" t="s">
        <v>36</v>
      </c>
      <c r="C24">
        <v>20</v>
      </c>
      <c r="D24" t="s">
        <v>74</v>
      </c>
      <c r="E24" t="s">
        <v>112</v>
      </c>
    </row>
    <row r="25" spans="1:5" x14ac:dyDescent="0.2">
      <c r="A25" t="s">
        <v>9</v>
      </c>
      <c r="B25" t="s">
        <v>37</v>
      </c>
      <c r="C25">
        <v>12</v>
      </c>
      <c r="D25" t="s">
        <v>75</v>
      </c>
      <c r="E25" t="s">
        <v>113</v>
      </c>
    </row>
    <row r="26" spans="1:5" x14ac:dyDescent="0.2">
      <c r="A26" t="s">
        <v>9</v>
      </c>
      <c r="B26" t="s">
        <v>38</v>
      </c>
      <c r="C26">
        <v>8</v>
      </c>
      <c r="D26" t="s">
        <v>76</v>
      </c>
      <c r="E26" t="s">
        <v>114</v>
      </c>
    </row>
    <row r="27" spans="1:5" x14ac:dyDescent="0.2">
      <c r="A27" t="s">
        <v>10</v>
      </c>
      <c r="B27" t="s">
        <v>39</v>
      </c>
      <c r="C27">
        <v>2</v>
      </c>
      <c r="D27" t="s">
        <v>77</v>
      </c>
      <c r="E27" t="s">
        <v>115</v>
      </c>
    </row>
    <row r="28" spans="1:5" x14ac:dyDescent="0.2">
      <c r="A28" t="s">
        <v>10</v>
      </c>
      <c r="B28" t="s">
        <v>40</v>
      </c>
      <c r="C28">
        <v>4</v>
      </c>
      <c r="D28" t="s">
        <v>78</v>
      </c>
      <c r="E28" t="s">
        <v>116</v>
      </c>
    </row>
    <row r="29" spans="1:5" x14ac:dyDescent="0.2">
      <c r="A29" t="s">
        <v>10</v>
      </c>
      <c r="B29" t="s">
        <v>41</v>
      </c>
      <c r="C29">
        <v>5</v>
      </c>
      <c r="D29" t="s">
        <v>79</v>
      </c>
      <c r="E29" t="s">
        <v>117</v>
      </c>
    </row>
    <row r="30" spans="1:5" x14ac:dyDescent="0.2">
      <c r="A30" t="s">
        <v>10</v>
      </c>
      <c r="B30" t="s">
        <v>42</v>
      </c>
      <c r="C30">
        <v>5</v>
      </c>
      <c r="D30" t="s">
        <v>80</v>
      </c>
      <c r="E30" t="s">
        <v>118</v>
      </c>
    </row>
    <row r="31" spans="1:5" x14ac:dyDescent="0.2">
      <c r="A31" t="s">
        <v>11</v>
      </c>
      <c r="B31" t="s">
        <v>43</v>
      </c>
      <c r="C31">
        <v>10</v>
      </c>
      <c r="D31" t="s">
        <v>81</v>
      </c>
      <c r="E31" t="s">
        <v>119</v>
      </c>
    </row>
    <row r="32" spans="1:5" x14ac:dyDescent="0.2">
      <c r="A32" t="s">
        <v>11</v>
      </c>
      <c r="B32" t="s">
        <v>44</v>
      </c>
      <c r="C32">
        <v>8</v>
      </c>
      <c r="D32" t="s">
        <v>82</v>
      </c>
      <c r="E32" t="s">
        <v>120</v>
      </c>
    </row>
    <row r="33" spans="1:5" x14ac:dyDescent="0.2">
      <c r="A33" t="s">
        <v>11</v>
      </c>
      <c r="B33" t="s">
        <v>45</v>
      </c>
      <c r="C33">
        <v>15</v>
      </c>
      <c r="D33" t="s">
        <v>83</v>
      </c>
      <c r="E33" t="s">
        <v>121</v>
      </c>
    </row>
    <row r="34" spans="1:5" x14ac:dyDescent="0.2">
      <c r="A34" t="s">
        <v>12</v>
      </c>
      <c r="B34" t="s">
        <v>46</v>
      </c>
      <c r="C34">
        <v>6</v>
      </c>
      <c r="D34" t="s">
        <v>84</v>
      </c>
      <c r="E34" t="s">
        <v>122</v>
      </c>
    </row>
    <row r="35" spans="1:5" x14ac:dyDescent="0.2">
      <c r="A35" t="s">
        <v>12</v>
      </c>
      <c r="B35" t="s">
        <v>47</v>
      </c>
      <c r="C35">
        <v>10</v>
      </c>
      <c r="D35" t="s">
        <v>85</v>
      </c>
      <c r="E35" t="s">
        <v>123</v>
      </c>
    </row>
    <row r="36" spans="1:5" x14ac:dyDescent="0.2">
      <c r="A36" t="s">
        <v>12</v>
      </c>
      <c r="B36" t="s">
        <v>48</v>
      </c>
      <c r="C36">
        <v>4</v>
      </c>
      <c r="D36" t="s">
        <v>86</v>
      </c>
      <c r="E36" t="s">
        <v>124</v>
      </c>
    </row>
    <row r="37" spans="1:5" x14ac:dyDescent="0.2">
      <c r="A37" t="s">
        <v>13</v>
      </c>
      <c r="B37" t="s">
        <v>49</v>
      </c>
      <c r="C37">
        <v>2</v>
      </c>
      <c r="D37" t="s">
        <v>87</v>
      </c>
      <c r="E37" t="s">
        <v>125</v>
      </c>
    </row>
    <row r="38" spans="1:5" x14ac:dyDescent="0.2">
      <c r="A38" t="s">
        <v>13</v>
      </c>
      <c r="B38" t="s">
        <v>50</v>
      </c>
      <c r="C38">
        <v>3</v>
      </c>
      <c r="D38" t="s">
        <v>88</v>
      </c>
      <c r="E38" t="s">
        <v>126</v>
      </c>
    </row>
    <row r="39" spans="1:5" x14ac:dyDescent="0.2">
      <c r="A39" t="s">
        <v>13</v>
      </c>
      <c r="B39" t="s">
        <v>51</v>
      </c>
      <c r="C39">
        <v>2</v>
      </c>
      <c r="D39" t="s">
        <v>89</v>
      </c>
      <c r="E39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3" bestFit="1" customWidth="1"/>
    <col min="2" max="2" width="27.6640625" bestFit="1" customWidth="1"/>
    <col min="3" max="3" width="10.6640625" bestFit="1" customWidth="1"/>
    <col min="4" max="4" width="28.5" bestFit="1" customWidth="1"/>
    <col min="5" max="5" width="30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128</v>
      </c>
      <c r="B2" t="s">
        <v>133</v>
      </c>
      <c r="C2">
        <v>-10</v>
      </c>
      <c r="D2" t="s">
        <v>155</v>
      </c>
      <c r="E2" t="s">
        <v>177</v>
      </c>
    </row>
    <row r="3" spans="1:5" x14ac:dyDescent="0.2">
      <c r="A3" t="s">
        <v>128</v>
      </c>
      <c r="B3" t="s">
        <v>134</v>
      </c>
      <c r="C3">
        <v>-5</v>
      </c>
      <c r="D3" t="s">
        <v>156</v>
      </c>
      <c r="E3" t="s">
        <v>178</v>
      </c>
    </row>
    <row r="4" spans="1:5" x14ac:dyDescent="0.2">
      <c r="A4" t="s">
        <v>128</v>
      </c>
      <c r="B4" t="s">
        <v>135</v>
      </c>
      <c r="C4">
        <v>-5</v>
      </c>
      <c r="D4" t="s">
        <v>157</v>
      </c>
      <c r="E4" t="s">
        <v>179</v>
      </c>
    </row>
    <row r="5" spans="1:5" x14ac:dyDescent="0.2">
      <c r="A5" t="s">
        <v>128</v>
      </c>
      <c r="B5" t="s">
        <v>136</v>
      </c>
      <c r="C5">
        <v>-8</v>
      </c>
      <c r="D5" t="s">
        <v>158</v>
      </c>
      <c r="E5" t="s">
        <v>180</v>
      </c>
    </row>
    <row r="6" spans="1:5" x14ac:dyDescent="0.2">
      <c r="A6" t="s">
        <v>128</v>
      </c>
      <c r="B6" t="s">
        <v>137</v>
      </c>
      <c r="C6">
        <v>-15</v>
      </c>
      <c r="D6" t="s">
        <v>159</v>
      </c>
      <c r="E6" t="s">
        <v>181</v>
      </c>
    </row>
    <row r="7" spans="1:5" x14ac:dyDescent="0.2">
      <c r="A7" t="s">
        <v>128</v>
      </c>
      <c r="B7" t="s">
        <v>138</v>
      </c>
      <c r="C7">
        <v>-10</v>
      </c>
      <c r="D7" t="s">
        <v>160</v>
      </c>
      <c r="E7" t="s">
        <v>182</v>
      </c>
    </row>
    <row r="8" spans="1:5" x14ac:dyDescent="0.2">
      <c r="A8" t="s">
        <v>129</v>
      </c>
      <c r="B8" t="s">
        <v>139</v>
      </c>
      <c r="C8">
        <v>-15</v>
      </c>
      <c r="D8" t="s">
        <v>161</v>
      </c>
      <c r="E8" t="s">
        <v>183</v>
      </c>
    </row>
    <row r="9" spans="1:5" x14ac:dyDescent="0.2">
      <c r="A9" t="s">
        <v>129</v>
      </c>
      <c r="B9" t="s">
        <v>140</v>
      </c>
      <c r="C9">
        <v>-25</v>
      </c>
      <c r="D9" t="s">
        <v>162</v>
      </c>
      <c r="E9" t="s">
        <v>184</v>
      </c>
    </row>
    <row r="10" spans="1:5" x14ac:dyDescent="0.2">
      <c r="A10" t="s">
        <v>129</v>
      </c>
      <c r="B10" t="s">
        <v>141</v>
      </c>
      <c r="C10">
        <v>-10</v>
      </c>
      <c r="D10" t="s">
        <v>163</v>
      </c>
      <c r="E10" t="s">
        <v>185</v>
      </c>
    </row>
    <row r="11" spans="1:5" x14ac:dyDescent="0.2">
      <c r="A11" t="s">
        <v>130</v>
      </c>
      <c r="B11" t="s">
        <v>142</v>
      </c>
      <c r="C11">
        <v>-5</v>
      </c>
      <c r="D11" t="s">
        <v>164</v>
      </c>
      <c r="E11" t="s">
        <v>186</v>
      </c>
    </row>
    <row r="12" spans="1:5" x14ac:dyDescent="0.2">
      <c r="A12" t="s">
        <v>130</v>
      </c>
      <c r="B12" t="s">
        <v>143</v>
      </c>
      <c r="C12">
        <v>-15</v>
      </c>
      <c r="D12" t="s">
        <v>165</v>
      </c>
      <c r="E12" t="s">
        <v>187</v>
      </c>
    </row>
    <row r="13" spans="1:5" x14ac:dyDescent="0.2">
      <c r="A13" t="s">
        <v>130</v>
      </c>
      <c r="B13" t="s">
        <v>144</v>
      </c>
      <c r="C13">
        <v>-8</v>
      </c>
      <c r="D13" t="s">
        <v>166</v>
      </c>
      <c r="E13" t="s">
        <v>188</v>
      </c>
    </row>
    <row r="14" spans="1:5" x14ac:dyDescent="0.2">
      <c r="A14" t="s">
        <v>131</v>
      </c>
      <c r="B14" t="s">
        <v>145</v>
      </c>
      <c r="C14">
        <v>-6</v>
      </c>
      <c r="D14" t="s">
        <v>167</v>
      </c>
      <c r="E14" t="s">
        <v>189</v>
      </c>
    </row>
    <row r="15" spans="1:5" x14ac:dyDescent="0.2">
      <c r="A15" t="s">
        <v>131</v>
      </c>
      <c r="B15" t="s">
        <v>146</v>
      </c>
      <c r="C15">
        <v>-5</v>
      </c>
      <c r="D15" t="s">
        <v>168</v>
      </c>
      <c r="E15" t="s">
        <v>190</v>
      </c>
    </row>
    <row r="16" spans="1:5" x14ac:dyDescent="0.2">
      <c r="A16" t="s">
        <v>131</v>
      </c>
      <c r="B16" t="s">
        <v>147</v>
      </c>
      <c r="C16">
        <v>-7</v>
      </c>
      <c r="D16" t="s">
        <v>169</v>
      </c>
      <c r="E16" t="s">
        <v>191</v>
      </c>
    </row>
    <row r="17" spans="1:5" x14ac:dyDescent="0.2">
      <c r="A17" t="s">
        <v>132</v>
      </c>
      <c r="B17" t="s">
        <v>148</v>
      </c>
      <c r="C17">
        <v>-10</v>
      </c>
      <c r="D17" t="s">
        <v>170</v>
      </c>
      <c r="E17" t="s">
        <v>192</v>
      </c>
    </row>
    <row r="18" spans="1:5" x14ac:dyDescent="0.2">
      <c r="A18" t="s">
        <v>132</v>
      </c>
      <c r="B18" t="s">
        <v>149</v>
      </c>
      <c r="C18">
        <v>-4</v>
      </c>
      <c r="D18" t="s">
        <v>171</v>
      </c>
      <c r="E18" t="s">
        <v>193</v>
      </c>
    </row>
    <row r="19" spans="1:5" x14ac:dyDescent="0.2">
      <c r="A19" t="s">
        <v>132</v>
      </c>
      <c r="B19" t="s">
        <v>150</v>
      </c>
      <c r="C19">
        <v>-15</v>
      </c>
      <c r="D19" t="s">
        <v>172</v>
      </c>
      <c r="E19" t="s">
        <v>194</v>
      </c>
    </row>
    <row r="20" spans="1:5" x14ac:dyDescent="0.2">
      <c r="A20" t="s">
        <v>13</v>
      </c>
      <c r="B20" t="s">
        <v>151</v>
      </c>
      <c r="C20">
        <v>-5</v>
      </c>
      <c r="D20" t="s">
        <v>173</v>
      </c>
      <c r="E20" t="s">
        <v>195</v>
      </c>
    </row>
    <row r="21" spans="1:5" x14ac:dyDescent="0.2">
      <c r="A21" t="s">
        <v>13</v>
      </c>
      <c r="B21" t="s">
        <v>152</v>
      </c>
      <c r="C21">
        <v>-1</v>
      </c>
      <c r="D21" t="s">
        <v>174</v>
      </c>
      <c r="E21" t="s">
        <v>196</v>
      </c>
    </row>
    <row r="22" spans="1:5" x14ac:dyDescent="0.2">
      <c r="A22" t="s">
        <v>13</v>
      </c>
      <c r="B22" t="s">
        <v>153</v>
      </c>
      <c r="C22">
        <v>-5</v>
      </c>
      <c r="D22" t="s">
        <v>175</v>
      </c>
      <c r="E22" t="s">
        <v>197</v>
      </c>
    </row>
    <row r="23" spans="1:5" x14ac:dyDescent="0.2">
      <c r="A23" t="s">
        <v>13</v>
      </c>
      <c r="B23" t="s">
        <v>154</v>
      </c>
      <c r="C23">
        <v>-2</v>
      </c>
      <c r="D23" t="s">
        <v>176</v>
      </c>
      <c r="E23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11.6640625" bestFit="1" customWidth="1"/>
    <col min="2" max="2" width="18.33203125" bestFit="1" customWidth="1"/>
    <col min="3" max="3" width="42.83203125" bestFit="1" customWidth="1"/>
    <col min="4" max="4" width="28.6640625" bestFit="1" customWidth="1"/>
  </cols>
  <sheetData>
    <row r="1" spans="1:4" x14ac:dyDescent="0.2">
      <c r="A1" s="1" t="s">
        <v>199</v>
      </c>
      <c r="B1" s="1" t="s">
        <v>200</v>
      </c>
      <c r="C1" s="1" t="s">
        <v>201</v>
      </c>
      <c r="D1" s="1" t="s">
        <v>4</v>
      </c>
    </row>
    <row r="2" spans="1:4" x14ac:dyDescent="0.2">
      <c r="A2" t="s">
        <v>202</v>
      </c>
      <c r="B2" t="s">
        <v>206</v>
      </c>
      <c r="C2" t="s">
        <v>226</v>
      </c>
      <c r="D2" t="s">
        <v>246</v>
      </c>
    </row>
    <row r="3" spans="1:4" x14ac:dyDescent="0.2">
      <c r="A3" t="s">
        <v>202</v>
      </c>
      <c r="B3" t="s">
        <v>207</v>
      </c>
      <c r="C3" t="s">
        <v>227</v>
      </c>
      <c r="D3" t="s">
        <v>247</v>
      </c>
    </row>
    <row r="4" spans="1:4" x14ac:dyDescent="0.2">
      <c r="A4" t="s">
        <v>202</v>
      </c>
      <c r="B4" t="s">
        <v>208</v>
      </c>
      <c r="C4" t="s">
        <v>228</v>
      </c>
      <c r="D4" t="s">
        <v>248</v>
      </c>
    </row>
    <row r="5" spans="1:4" x14ac:dyDescent="0.2">
      <c r="A5" t="s">
        <v>202</v>
      </c>
      <c r="B5" t="s">
        <v>209</v>
      </c>
      <c r="C5" t="s">
        <v>229</v>
      </c>
      <c r="D5" t="s">
        <v>249</v>
      </c>
    </row>
    <row r="6" spans="1:4" x14ac:dyDescent="0.2">
      <c r="A6" t="s">
        <v>202</v>
      </c>
      <c r="B6" t="s">
        <v>210</v>
      </c>
      <c r="C6" t="s">
        <v>230</v>
      </c>
      <c r="D6" t="s">
        <v>250</v>
      </c>
    </row>
    <row r="7" spans="1:4" x14ac:dyDescent="0.2">
      <c r="A7" t="s">
        <v>202</v>
      </c>
      <c r="B7" t="s">
        <v>211</v>
      </c>
      <c r="C7" t="s">
        <v>231</v>
      </c>
      <c r="D7" t="s">
        <v>251</v>
      </c>
    </row>
    <row r="8" spans="1:4" x14ac:dyDescent="0.2">
      <c r="A8" t="s">
        <v>202</v>
      </c>
      <c r="B8" t="s">
        <v>212</v>
      </c>
      <c r="C8" t="s">
        <v>232</v>
      </c>
      <c r="D8" t="s">
        <v>252</v>
      </c>
    </row>
    <row r="9" spans="1:4" x14ac:dyDescent="0.2">
      <c r="A9" t="s">
        <v>202</v>
      </c>
      <c r="B9" t="s">
        <v>213</v>
      </c>
      <c r="C9" t="s">
        <v>233</v>
      </c>
      <c r="D9" t="s">
        <v>253</v>
      </c>
    </row>
    <row r="10" spans="1:4" x14ac:dyDescent="0.2">
      <c r="A10" t="s">
        <v>202</v>
      </c>
      <c r="B10" t="s">
        <v>214</v>
      </c>
      <c r="C10" t="s">
        <v>234</v>
      </c>
      <c r="D10" t="s">
        <v>254</v>
      </c>
    </row>
    <row r="11" spans="1:4" x14ac:dyDescent="0.2">
      <c r="A11" t="s">
        <v>203</v>
      </c>
      <c r="B11" t="s">
        <v>215</v>
      </c>
      <c r="C11" t="s">
        <v>235</v>
      </c>
      <c r="D11" t="s">
        <v>255</v>
      </c>
    </row>
    <row r="12" spans="1:4" x14ac:dyDescent="0.2">
      <c r="A12" t="s">
        <v>203</v>
      </c>
      <c r="B12" t="s">
        <v>216</v>
      </c>
      <c r="C12" t="s">
        <v>236</v>
      </c>
      <c r="D12" t="s">
        <v>256</v>
      </c>
    </row>
    <row r="13" spans="1:4" x14ac:dyDescent="0.2">
      <c r="A13" t="s">
        <v>203</v>
      </c>
      <c r="B13" t="s">
        <v>217</v>
      </c>
      <c r="C13" t="s">
        <v>237</v>
      </c>
      <c r="D13" t="s">
        <v>257</v>
      </c>
    </row>
    <row r="14" spans="1:4" x14ac:dyDescent="0.2">
      <c r="A14" t="s">
        <v>203</v>
      </c>
      <c r="B14" t="s">
        <v>218</v>
      </c>
      <c r="C14" t="s">
        <v>238</v>
      </c>
      <c r="D14" t="s">
        <v>258</v>
      </c>
    </row>
    <row r="15" spans="1:4" x14ac:dyDescent="0.2">
      <c r="A15" t="s">
        <v>204</v>
      </c>
      <c r="B15" t="s">
        <v>219</v>
      </c>
      <c r="C15" t="s">
        <v>239</v>
      </c>
      <c r="D15" t="s">
        <v>259</v>
      </c>
    </row>
    <row r="16" spans="1:4" x14ac:dyDescent="0.2">
      <c r="A16" t="s">
        <v>204</v>
      </c>
      <c r="B16" t="s">
        <v>220</v>
      </c>
      <c r="C16" t="s">
        <v>240</v>
      </c>
      <c r="D16" t="s">
        <v>260</v>
      </c>
    </row>
    <row r="17" spans="1:4" x14ac:dyDescent="0.2">
      <c r="A17" t="s">
        <v>204</v>
      </c>
      <c r="B17" t="s">
        <v>221</v>
      </c>
      <c r="C17" t="s">
        <v>241</v>
      </c>
      <c r="D17" t="s">
        <v>261</v>
      </c>
    </row>
    <row r="18" spans="1:4" x14ac:dyDescent="0.2">
      <c r="A18" t="s">
        <v>204</v>
      </c>
      <c r="B18" t="s">
        <v>222</v>
      </c>
      <c r="C18" t="s">
        <v>242</v>
      </c>
      <c r="D18" t="s">
        <v>262</v>
      </c>
    </row>
    <row r="19" spans="1:4" x14ac:dyDescent="0.2">
      <c r="A19" t="s">
        <v>205</v>
      </c>
      <c r="B19" t="s">
        <v>223</v>
      </c>
      <c r="C19" t="s">
        <v>243</v>
      </c>
      <c r="D19" t="s">
        <v>263</v>
      </c>
    </row>
    <row r="20" spans="1:4" x14ac:dyDescent="0.2">
      <c r="A20" t="s">
        <v>205</v>
      </c>
      <c r="B20" t="s">
        <v>224</v>
      </c>
      <c r="C20" t="s">
        <v>244</v>
      </c>
      <c r="D20" t="s">
        <v>264</v>
      </c>
    </row>
    <row r="21" spans="1:4" x14ac:dyDescent="0.2">
      <c r="A21" t="s">
        <v>205</v>
      </c>
      <c r="B21" t="s">
        <v>225</v>
      </c>
      <c r="C21" t="s">
        <v>245</v>
      </c>
      <c r="D21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20" bestFit="1" customWidth="1"/>
    <col min="2" max="2" width="74.33203125" bestFit="1" customWidth="1"/>
    <col min="3" max="3" width="24.83203125" bestFit="1" customWidth="1"/>
    <col min="4" max="4" width="44.5" bestFit="1" customWidth="1"/>
  </cols>
  <sheetData>
    <row r="1" spans="1:4" x14ac:dyDescent="0.2">
      <c r="A1" s="1" t="s">
        <v>266</v>
      </c>
      <c r="B1" s="1" t="s">
        <v>267</v>
      </c>
      <c r="C1" s="1" t="s">
        <v>268</v>
      </c>
      <c r="D1" s="1" t="s">
        <v>4</v>
      </c>
    </row>
    <row r="2" spans="1:4" x14ac:dyDescent="0.2">
      <c r="A2" t="s">
        <v>269</v>
      </c>
      <c r="B2" t="s">
        <v>275</v>
      </c>
      <c r="C2" t="s">
        <v>282</v>
      </c>
      <c r="D2" t="s">
        <v>289</v>
      </c>
    </row>
    <row r="3" spans="1:4" x14ac:dyDescent="0.2">
      <c r="A3" t="s">
        <v>270</v>
      </c>
      <c r="B3" t="s">
        <v>276</v>
      </c>
      <c r="C3" t="s">
        <v>283</v>
      </c>
      <c r="D3" t="s">
        <v>290</v>
      </c>
    </row>
    <row r="4" spans="1:4" x14ac:dyDescent="0.2">
      <c r="A4" t="s">
        <v>271</v>
      </c>
      <c r="B4" t="s">
        <v>277</v>
      </c>
      <c r="C4" t="s">
        <v>284</v>
      </c>
      <c r="D4" t="s">
        <v>291</v>
      </c>
    </row>
    <row r="5" spans="1:4" x14ac:dyDescent="0.2">
      <c r="A5" t="s">
        <v>225</v>
      </c>
      <c r="B5" t="s">
        <v>278</v>
      </c>
      <c r="C5" t="s">
        <v>285</v>
      </c>
      <c r="D5" t="s">
        <v>292</v>
      </c>
    </row>
    <row r="6" spans="1:4" x14ac:dyDescent="0.2">
      <c r="A6" t="s">
        <v>272</v>
      </c>
      <c r="B6" t="s">
        <v>279</v>
      </c>
      <c r="C6" t="s">
        <v>286</v>
      </c>
      <c r="D6" t="s">
        <v>293</v>
      </c>
    </row>
    <row r="7" spans="1:4" x14ac:dyDescent="0.2">
      <c r="A7" t="s">
        <v>273</v>
      </c>
      <c r="B7" t="s">
        <v>280</v>
      </c>
      <c r="C7" t="s">
        <v>287</v>
      </c>
      <c r="D7" t="s">
        <v>294</v>
      </c>
    </row>
    <row r="8" spans="1:4" x14ac:dyDescent="0.2">
      <c r="A8" t="s">
        <v>274</v>
      </c>
      <c r="B8" t="s">
        <v>281</v>
      </c>
      <c r="C8" t="s">
        <v>288</v>
      </c>
      <c r="D8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1.6640625" bestFit="1" customWidth="1"/>
    <col min="2" max="2" width="11" bestFit="1" customWidth="1"/>
    <col min="3" max="3" width="15.33203125" bestFit="1" customWidth="1"/>
    <col min="4" max="4" width="16" bestFit="1" customWidth="1"/>
    <col min="5" max="5" width="8.6640625" bestFit="1" customWidth="1"/>
    <col min="6" max="6" width="8.33203125" bestFit="1" customWidth="1"/>
    <col min="7" max="7" width="44.33203125" bestFit="1" customWidth="1"/>
  </cols>
  <sheetData>
    <row r="1" spans="1:7" x14ac:dyDescent="0.2">
      <c r="A1" s="1" t="s">
        <v>199</v>
      </c>
      <c r="B1" s="1" t="s">
        <v>200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4</v>
      </c>
    </row>
    <row r="2" spans="1:7" x14ac:dyDescent="0.2">
      <c r="A2" t="s">
        <v>202</v>
      </c>
      <c r="B2" t="s">
        <v>206</v>
      </c>
      <c r="C2">
        <v>1.1499999999999999</v>
      </c>
      <c r="D2">
        <v>0.9</v>
      </c>
      <c r="E2">
        <v>1.2</v>
      </c>
      <c r="F2">
        <v>0.9</v>
      </c>
      <c r="G2" t="s">
        <v>302</v>
      </c>
    </row>
    <row r="3" spans="1:7" x14ac:dyDescent="0.2">
      <c r="A3" t="s">
        <v>202</v>
      </c>
      <c r="B3" t="s">
        <v>207</v>
      </c>
      <c r="C3">
        <v>1.05</v>
      </c>
      <c r="D3">
        <v>0.95</v>
      </c>
      <c r="E3">
        <v>0.9</v>
      </c>
      <c r="F3">
        <v>1.1000000000000001</v>
      </c>
      <c r="G3" t="s">
        <v>303</v>
      </c>
    </row>
    <row r="4" spans="1:7" x14ac:dyDescent="0.2">
      <c r="A4" t="s">
        <v>202</v>
      </c>
      <c r="B4" t="s">
        <v>208</v>
      </c>
      <c r="C4">
        <v>1</v>
      </c>
      <c r="D4">
        <v>1</v>
      </c>
      <c r="E4">
        <v>1.3</v>
      </c>
      <c r="F4">
        <v>0.9</v>
      </c>
      <c r="G4" t="s">
        <v>304</v>
      </c>
    </row>
    <row r="5" spans="1:7" x14ac:dyDescent="0.2">
      <c r="A5" t="s">
        <v>202</v>
      </c>
      <c r="B5" t="s">
        <v>209</v>
      </c>
      <c r="C5">
        <v>0.9</v>
      </c>
      <c r="D5">
        <v>1.1000000000000001</v>
      </c>
      <c r="E5">
        <v>0.6</v>
      </c>
      <c r="F5">
        <v>1.2</v>
      </c>
      <c r="G5" t="s">
        <v>305</v>
      </c>
    </row>
    <row r="6" spans="1:7" x14ac:dyDescent="0.2">
      <c r="A6" t="s">
        <v>202</v>
      </c>
      <c r="B6" t="s">
        <v>210</v>
      </c>
      <c r="C6">
        <v>1</v>
      </c>
      <c r="D6">
        <v>1</v>
      </c>
      <c r="E6">
        <v>0.5</v>
      </c>
      <c r="F6">
        <v>1.2</v>
      </c>
      <c r="G6" t="s">
        <v>306</v>
      </c>
    </row>
    <row r="7" spans="1:7" x14ac:dyDescent="0.2">
      <c r="A7" t="s">
        <v>202</v>
      </c>
      <c r="B7" t="s">
        <v>211</v>
      </c>
      <c r="C7">
        <v>0.95</v>
      </c>
      <c r="D7">
        <v>1.05</v>
      </c>
      <c r="E7">
        <v>0.8</v>
      </c>
      <c r="F7">
        <v>1</v>
      </c>
      <c r="G7" t="s">
        <v>307</v>
      </c>
    </row>
    <row r="8" spans="1:7" x14ac:dyDescent="0.2">
      <c r="A8" t="s">
        <v>202</v>
      </c>
      <c r="B8" t="s">
        <v>212</v>
      </c>
      <c r="C8">
        <v>1.1000000000000001</v>
      </c>
      <c r="D8">
        <v>0.9</v>
      </c>
      <c r="E8">
        <v>1.2</v>
      </c>
      <c r="F8">
        <v>0.95</v>
      </c>
      <c r="G8" t="s">
        <v>308</v>
      </c>
    </row>
    <row r="9" spans="1:7" x14ac:dyDescent="0.2">
      <c r="A9" t="s">
        <v>202</v>
      </c>
      <c r="B9" t="s">
        <v>213</v>
      </c>
      <c r="C9">
        <v>1.05</v>
      </c>
      <c r="D9">
        <v>1.1000000000000001</v>
      </c>
      <c r="E9">
        <v>0.9</v>
      </c>
      <c r="F9">
        <v>1.1000000000000001</v>
      </c>
      <c r="G9" t="s">
        <v>309</v>
      </c>
    </row>
    <row r="10" spans="1:7" x14ac:dyDescent="0.2">
      <c r="A10" t="s">
        <v>202</v>
      </c>
      <c r="B10" t="s">
        <v>214</v>
      </c>
      <c r="C10">
        <v>1</v>
      </c>
      <c r="D10">
        <v>1</v>
      </c>
      <c r="E10">
        <v>0.8</v>
      </c>
      <c r="F10">
        <v>1.1000000000000001</v>
      </c>
      <c r="G10" t="s">
        <v>310</v>
      </c>
    </row>
    <row r="11" spans="1:7" x14ac:dyDescent="0.2">
      <c r="A11" t="s">
        <v>203</v>
      </c>
      <c r="B11" t="s">
        <v>215</v>
      </c>
      <c r="C11">
        <v>1.1000000000000001</v>
      </c>
      <c r="D11">
        <v>1</v>
      </c>
      <c r="E11">
        <v>0.9</v>
      </c>
      <c r="F11">
        <v>1</v>
      </c>
      <c r="G11" t="s">
        <v>311</v>
      </c>
    </row>
    <row r="12" spans="1:7" x14ac:dyDescent="0.2">
      <c r="A12" t="s">
        <v>203</v>
      </c>
      <c r="B12" t="s">
        <v>300</v>
      </c>
      <c r="C12">
        <v>1.3</v>
      </c>
      <c r="D12">
        <v>1.2</v>
      </c>
      <c r="E12">
        <v>0.7</v>
      </c>
      <c r="F12">
        <v>1.1000000000000001</v>
      </c>
      <c r="G12" t="s">
        <v>312</v>
      </c>
    </row>
    <row r="13" spans="1:7" x14ac:dyDescent="0.2">
      <c r="A13" t="s">
        <v>204</v>
      </c>
      <c r="B13" t="s">
        <v>301</v>
      </c>
      <c r="C13">
        <v>1</v>
      </c>
      <c r="D13">
        <v>1</v>
      </c>
      <c r="E13">
        <v>1</v>
      </c>
      <c r="F13">
        <v>1</v>
      </c>
      <c r="G13" t="s">
        <v>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301</v>
      </c>
      <c r="B1" s="1" t="s">
        <v>314</v>
      </c>
      <c r="C1" s="1" t="s">
        <v>315</v>
      </c>
    </row>
    <row r="2" spans="1:3" x14ac:dyDescent="0.2">
      <c r="A2" t="s">
        <v>316</v>
      </c>
      <c r="B2">
        <v>1.2</v>
      </c>
      <c r="C2" t="s">
        <v>320</v>
      </c>
    </row>
    <row r="3" spans="1:3" x14ac:dyDescent="0.2">
      <c r="A3" t="s">
        <v>317</v>
      </c>
      <c r="B3">
        <v>1.1000000000000001</v>
      </c>
      <c r="C3" t="s">
        <v>321</v>
      </c>
    </row>
    <row r="4" spans="1:3" x14ac:dyDescent="0.2">
      <c r="A4" t="s">
        <v>318</v>
      </c>
      <c r="B4">
        <v>1.05</v>
      </c>
      <c r="C4" t="s">
        <v>322</v>
      </c>
    </row>
    <row r="5" spans="1:3" x14ac:dyDescent="0.2">
      <c r="A5" t="s">
        <v>319</v>
      </c>
      <c r="B5">
        <v>0.9</v>
      </c>
      <c r="C5" t="s">
        <v>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1"/>
  <sheetViews>
    <sheetView workbookViewId="0">
      <selection activeCell="F1" sqref="A1:F1048576"/>
    </sheetView>
  </sheetViews>
  <sheetFormatPr baseColWidth="10" defaultColWidth="8.83203125" defaultRowHeight="15" x14ac:dyDescent="0.2"/>
  <cols>
    <col min="1" max="1" width="27.83203125" bestFit="1" customWidth="1"/>
    <col min="2" max="2" width="18.83203125" bestFit="1" customWidth="1"/>
    <col min="3" max="3" width="4.6640625" bestFit="1" customWidth="1"/>
    <col min="4" max="4" width="37" bestFit="1" customWidth="1"/>
    <col min="5" max="5" width="7.83203125" bestFit="1" customWidth="1"/>
    <col min="6" max="6" width="35.6640625" bestFit="1" customWidth="1"/>
  </cols>
  <sheetData>
    <row r="1" spans="1:6" x14ac:dyDescent="0.2">
      <c r="A1" s="1" t="s">
        <v>1</v>
      </c>
      <c r="B1" s="1" t="s">
        <v>0</v>
      </c>
      <c r="C1" s="1" t="s">
        <v>324</v>
      </c>
      <c r="D1" s="1" t="s">
        <v>325</v>
      </c>
      <c r="E1" s="1" t="s">
        <v>326</v>
      </c>
      <c r="F1" s="1" t="s">
        <v>4</v>
      </c>
    </row>
    <row r="2" spans="1:6" x14ac:dyDescent="0.2">
      <c r="A2" t="s">
        <v>14</v>
      </c>
      <c r="B2" t="s">
        <v>5</v>
      </c>
      <c r="C2">
        <v>5</v>
      </c>
      <c r="D2" t="s">
        <v>52</v>
      </c>
      <c r="E2" t="s">
        <v>327</v>
      </c>
      <c r="F2" t="s">
        <v>90</v>
      </c>
    </row>
    <row r="3" spans="1:6" x14ac:dyDescent="0.2">
      <c r="A3" t="s">
        <v>15</v>
      </c>
      <c r="B3" t="s">
        <v>5</v>
      </c>
      <c r="C3">
        <v>10</v>
      </c>
      <c r="D3" t="s">
        <v>53</v>
      </c>
      <c r="E3" t="s">
        <v>327</v>
      </c>
      <c r="F3" t="s">
        <v>91</v>
      </c>
    </row>
    <row r="4" spans="1:6" x14ac:dyDescent="0.2">
      <c r="A4" t="s">
        <v>16</v>
      </c>
      <c r="B4" t="s">
        <v>5</v>
      </c>
      <c r="C4">
        <v>4</v>
      </c>
      <c r="D4" t="s">
        <v>54</v>
      </c>
      <c r="E4" t="s">
        <v>327</v>
      </c>
      <c r="F4" t="s">
        <v>92</v>
      </c>
    </row>
    <row r="5" spans="1:6" x14ac:dyDescent="0.2">
      <c r="A5" t="s">
        <v>17</v>
      </c>
      <c r="B5" t="s">
        <v>5</v>
      </c>
      <c r="C5">
        <v>3</v>
      </c>
      <c r="D5" t="s">
        <v>55</v>
      </c>
      <c r="E5" t="s">
        <v>327</v>
      </c>
      <c r="F5" t="s">
        <v>93</v>
      </c>
    </row>
    <row r="6" spans="1:6" x14ac:dyDescent="0.2">
      <c r="A6" t="s">
        <v>18</v>
      </c>
      <c r="B6" t="s">
        <v>5</v>
      </c>
      <c r="C6">
        <v>2</v>
      </c>
      <c r="D6" t="s">
        <v>56</v>
      </c>
      <c r="E6" t="s">
        <v>327</v>
      </c>
      <c r="F6" t="s">
        <v>94</v>
      </c>
    </row>
    <row r="7" spans="1:6" x14ac:dyDescent="0.2">
      <c r="A7" t="s">
        <v>19</v>
      </c>
      <c r="B7" t="s">
        <v>6</v>
      </c>
      <c r="C7">
        <v>4</v>
      </c>
      <c r="D7" t="s">
        <v>57</v>
      </c>
      <c r="E7" t="s">
        <v>327</v>
      </c>
      <c r="F7" t="s">
        <v>95</v>
      </c>
    </row>
    <row r="8" spans="1:6" x14ac:dyDescent="0.2">
      <c r="A8" t="s">
        <v>20</v>
      </c>
      <c r="B8" t="s">
        <v>6</v>
      </c>
      <c r="C8">
        <v>6</v>
      </c>
      <c r="D8" t="s">
        <v>58</v>
      </c>
      <c r="E8" t="s">
        <v>327</v>
      </c>
      <c r="F8" t="s">
        <v>96</v>
      </c>
    </row>
    <row r="9" spans="1:6" x14ac:dyDescent="0.2">
      <c r="A9" t="s">
        <v>21</v>
      </c>
      <c r="B9" t="s">
        <v>6</v>
      </c>
      <c r="C9">
        <v>6</v>
      </c>
      <c r="D9" t="s">
        <v>59</v>
      </c>
      <c r="E9" t="s">
        <v>327</v>
      </c>
      <c r="F9" t="s">
        <v>97</v>
      </c>
    </row>
    <row r="10" spans="1:6" x14ac:dyDescent="0.2">
      <c r="A10" t="s">
        <v>22</v>
      </c>
      <c r="B10" t="s">
        <v>6</v>
      </c>
      <c r="C10">
        <v>3</v>
      </c>
      <c r="D10" t="s">
        <v>60</v>
      </c>
      <c r="E10" t="s">
        <v>327</v>
      </c>
      <c r="F10" t="s">
        <v>98</v>
      </c>
    </row>
    <row r="11" spans="1:6" x14ac:dyDescent="0.2">
      <c r="A11" t="s">
        <v>23</v>
      </c>
      <c r="B11" t="s">
        <v>6</v>
      </c>
      <c r="C11">
        <v>5</v>
      </c>
      <c r="D11" t="s">
        <v>61</v>
      </c>
      <c r="E11" t="s">
        <v>327</v>
      </c>
      <c r="F11" t="s">
        <v>99</v>
      </c>
    </row>
    <row r="12" spans="1:6" x14ac:dyDescent="0.2">
      <c r="A12" t="s">
        <v>24</v>
      </c>
      <c r="B12" t="s">
        <v>6</v>
      </c>
      <c r="C12">
        <v>5</v>
      </c>
      <c r="D12" t="s">
        <v>62</v>
      </c>
      <c r="E12" t="s">
        <v>327</v>
      </c>
      <c r="F12" t="s">
        <v>100</v>
      </c>
    </row>
    <row r="13" spans="1:6" x14ac:dyDescent="0.2">
      <c r="A13" t="s">
        <v>25</v>
      </c>
      <c r="B13" t="s">
        <v>6</v>
      </c>
      <c r="C13">
        <v>2</v>
      </c>
      <c r="D13" t="s">
        <v>63</v>
      </c>
      <c r="E13" t="s">
        <v>327</v>
      </c>
      <c r="F13" t="s">
        <v>101</v>
      </c>
    </row>
    <row r="14" spans="1:6" x14ac:dyDescent="0.2">
      <c r="A14" t="s">
        <v>26</v>
      </c>
      <c r="B14" t="s">
        <v>7</v>
      </c>
      <c r="C14">
        <v>3</v>
      </c>
      <c r="D14" t="s">
        <v>64</v>
      </c>
      <c r="E14" t="s">
        <v>327</v>
      </c>
      <c r="F14" t="s">
        <v>102</v>
      </c>
    </row>
    <row r="15" spans="1:6" x14ac:dyDescent="0.2">
      <c r="A15" t="s">
        <v>27</v>
      </c>
      <c r="B15" t="s">
        <v>7</v>
      </c>
      <c r="C15">
        <v>6</v>
      </c>
      <c r="D15" t="s">
        <v>65</v>
      </c>
      <c r="E15" t="s">
        <v>327</v>
      </c>
      <c r="F15" t="s">
        <v>103</v>
      </c>
    </row>
    <row r="16" spans="1:6" x14ac:dyDescent="0.2">
      <c r="A16" t="s">
        <v>28</v>
      </c>
      <c r="B16" t="s">
        <v>7</v>
      </c>
      <c r="C16">
        <v>3</v>
      </c>
      <c r="D16" t="s">
        <v>66</v>
      </c>
      <c r="E16" t="s">
        <v>327</v>
      </c>
      <c r="F16" t="s">
        <v>104</v>
      </c>
    </row>
    <row r="17" spans="1:6" x14ac:dyDescent="0.2">
      <c r="A17" t="s">
        <v>29</v>
      </c>
      <c r="B17" t="s">
        <v>7</v>
      </c>
      <c r="C17">
        <v>4</v>
      </c>
      <c r="D17" t="s">
        <v>67</v>
      </c>
      <c r="E17" t="s">
        <v>327</v>
      </c>
      <c r="F17" t="s">
        <v>105</v>
      </c>
    </row>
    <row r="18" spans="1:6" x14ac:dyDescent="0.2">
      <c r="A18" t="s">
        <v>30</v>
      </c>
      <c r="B18" t="s">
        <v>8</v>
      </c>
      <c r="C18">
        <v>8</v>
      </c>
      <c r="D18" t="s">
        <v>68</v>
      </c>
      <c r="E18" t="s">
        <v>327</v>
      </c>
      <c r="F18" t="s">
        <v>106</v>
      </c>
    </row>
    <row r="19" spans="1:6" x14ac:dyDescent="0.2">
      <c r="A19" t="s">
        <v>31</v>
      </c>
      <c r="B19" t="s">
        <v>8</v>
      </c>
      <c r="C19">
        <v>10</v>
      </c>
      <c r="D19" t="s">
        <v>69</v>
      </c>
      <c r="E19" t="s">
        <v>327</v>
      </c>
      <c r="F19" t="s">
        <v>107</v>
      </c>
    </row>
    <row r="20" spans="1:6" x14ac:dyDescent="0.2">
      <c r="A20" t="s">
        <v>32</v>
      </c>
      <c r="B20" t="s">
        <v>8</v>
      </c>
      <c r="C20">
        <v>6</v>
      </c>
      <c r="D20" t="s">
        <v>70</v>
      </c>
      <c r="E20" t="s">
        <v>327</v>
      </c>
      <c r="F20" t="s">
        <v>108</v>
      </c>
    </row>
    <row r="21" spans="1:6" x14ac:dyDescent="0.2">
      <c r="A21" t="s">
        <v>33</v>
      </c>
      <c r="B21" t="s">
        <v>8</v>
      </c>
      <c r="C21">
        <v>7</v>
      </c>
      <c r="D21" t="s">
        <v>71</v>
      </c>
      <c r="E21" t="s">
        <v>327</v>
      </c>
      <c r="F21" t="s">
        <v>109</v>
      </c>
    </row>
    <row r="22" spans="1:6" x14ac:dyDescent="0.2">
      <c r="A22" t="s">
        <v>34</v>
      </c>
      <c r="B22" t="s">
        <v>9</v>
      </c>
      <c r="C22">
        <v>15</v>
      </c>
      <c r="D22" t="s">
        <v>72</v>
      </c>
      <c r="E22" t="s">
        <v>327</v>
      </c>
      <c r="F22" t="s">
        <v>110</v>
      </c>
    </row>
    <row r="23" spans="1:6" x14ac:dyDescent="0.2">
      <c r="A23" t="s">
        <v>35</v>
      </c>
      <c r="B23" t="s">
        <v>9</v>
      </c>
      <c r="C23">
        <v>10</v>
      </c>
      <c r="D23" t="s">
        <v>73</v>
      </c>
      <c r="E23" t="s">
        <v>327</v>
      </c>
      <c r="F23" t="s">
        <v>111</v>
      </c>
    </row>
    <row r="24" spans="1:6" x14ac:dyDescent="0.2">
      <c r="A24" t="s">
        <v>36</v>
      </c>
      <c r="B24" t="s">
        <v>9</v>
      </c>
      <c r="C24">
        <v>20</v>
      </c>
      <c r="D24" t="s">
        <v>74</v>
      </c>
      <c r="E24" t="s">
        <v>327</v>
      </c>
      <c r="F24" t="s">
        <v>112</v>
      </c>
    </row>
    <row r="25" spans="1:6" x14ac:dyDescent="0.2">
      <c r="A25" t="s">
        <v>37</v>
      </c>
      <c r="B25" t="s">
        <v>9</v>
      </c>
      <c r="C25">
        <v>12</v>
      </c>
      <c r="D25" t="s">
        <v>75</v>
      </c>
      <c r="E25" t="s">
        <v>327</v>
      </c>
      <c r="F25" t="s">
        <v>113</v>
      </c>
    </row>
    <row r="26" spans="1:6" x14ac:dyDescent="0.2">
      <c r="A26" t="s">
        <v>38</v>
      </c>
      <c r="B26" t="s">
        <v>9</v>
      </c>
      <c r="C26">
        <v>8</v>
      </c>
      <c r="D26" t="s">
        <v>76</v>
      </c>
      <c r="E26" t="s">
        <v>327</v>
      </c>
      <c r="F26" t="s">
        <v>114</v>
      </c>
    </row>
    <row r="27" spans="1:6" x14ac:dyDescent="0.2">
      <c r="A27" t="s">
        <v>39</v>
      </c>
      <c r="B27" t="s">
        <v>10</v>
      </c>
      <c r="C27">
        <v>2</v>
      </c>
      <c r="D27" t="s">
        <v>77</v>
      </c>
      <c r="E27" t="s">
        <v>327</v>
      </c>
      <c r="F27" t="s">
        <v>115</v>
      </c>
    </row>
    <row r="28" spans="1:6" x14ac:dyDescent="0.2">
      <c r="A28" t="s">
        <v>40</v>
      </c>
      <c r="B28" t="s">
        <v>10</v>
      </c>
      <c r="C28">
        <v>4</v>
      </c>
      <c r="D28" t="s">
        <v>78</v>
      </c>
      <c r="E28" t="s">
        <v>327</v>
      </c>
      <c r="F28" t="s">
        <v>116</v>
      </c>
    </row>
    <row r="29" spans="1:6" x14ac:dyDescent="0.2">
      <c r="A29" t="s">
        <v>41</v>
      </c>
      <c r="B29" t="s">
        <v>10</v>
      </c>
      <c r="C29">
        <v>5</v>
      </c>
      <c r="D29" t="s">
        <v>79</v>
      </c>
      <c r="E29" t="s">
        <v>327</v>
      </c>
      <c r="F29" t="s">
        <v>117</v>
      </c>
    </row>
    <row r="30" spans="1:6" x14ac:dyDescent="0.2">
      <c r="A30" t="s">
        <v>42</v>
      </c>
      <c r="B30" t="s">
        <v>10</v>
      </c>
      <c r="C30">
        <v>5</v>
      </c>
      <c r="D30" t="s">
        <v>80</v>
      </c>
      <c r="E30" t="s">
        <v>327</v>
      </c>
      <c r="F30" t="s">
        <v>118</v>
      </c>
    </row>
    <row r="31" spans="1:6" x14ac:dyDescent="0.2">
      <c r="A31" t="s">
        <v>43</v>
      </c>
      <c r="B31" t="s">
        <v>11</v>
      </c>
      <c r="C31">
        <v>10</v>
      </c>
      <c r="D31" t="s">
        <v>81</v>
      </c>
      <c r="E31" t="s">
        <v>327</v>
      </c>
      <c r="F31" t="s">
        <v>119</v>
      </c>
    </row>
    <row r="32" spans="1:6" x14ac:dyDescent="0.2">
      <c r="A32" t="s">
        <v>44</v>
      </c>
      <c r="B32" t="s">
        <v>11</v>
      </c>
      <c r="C32">
        <v>8</v>
      </c>
      <c r="D32" t="s">
        <v>82</v>
      </c>
      <c r="E32" t="s">
        <v>327</v>
      </c>
      <c r="F32" t="s">
        <v>120</v>
      </c>
    </row>
    <row r="33" spans="1:6" x14ac:dyDescent="0.2">
      <c r="A33" t="s">
        <v>45</v>
      </c>
      <c r="B33" t="s">
        <v>11</v>
      </c>
      <c r="C33">
        <v>15</v>
      </c>
      <c r="D33" t="s">
        <v>83</v>
      </c>
      <c r="E33" t="s">
        <v>327</v>
      </c>
      <c r="F33" t="s">
        <v>121</v>
      </c>
    </row>
    <row r="34" spans="1:6" x14ac:dyDescent="0.2">
      <c r="A34" t="s">
        <v>46</v>
      </c>
      <c r="B34" t="s">
        <v>12</v>
      </c>
      <c r="C34">
        <v>6</v>
      </c>
      <c r="D34" t="s">
        <v>84</v>
      </c>
      <c r="E34" t="s">
        <v>327</v>
      </c>
      <c r="F34" t="s">
        <v>122</v>
      </c>
    </row>
    <row r="35" spans="1:6" x14ac:dyDescent="0.2">
      <c r="A35" t="s">
        <v>47</v>
      </c>
      <c r="B35" t="s">
        <v>12</v>
      </c>
      <c r="C35">
        <v>10</v>
      </c>
      <c r="D35" t="s">
        <v>85</v>
      </c>
      <c r="E35" t="s">
        <v>327</v>
      </c>
      <c r="F35" t="s">
        <v>123</v>
      </c>
    </row>
    <row r="36" spans="1:6" x14ac:dyDescent="0.2">
      <c r="A36" t="s">
        <v>48</v>
      </c>
      <c r="B36" t="s">
        <v>12</v>
      </c>
      <c r="C36">
        <v>4</v>
      </c>
      <c r="D36" t="s">
        <v>86</v>
      </c>
      <c r="E36" t="s">
        <v>327</v>
      </c>
      <c r="F36" t="s">
        <v>124</v>
      </c>
    </row>
    <row r="37" spans="1:6" x14ac:dyDescent="0.2">
      <c r="A37" t="s">
        <v>49</v>
      </c>
      <c r="B37" t="s">
        <v>13</v>
      </c>
      <c r="C37">
        <v>2</v>
      </c>
      <c r="D37" t="s">
        <v>87</v>
      </c>
      <c r="E37" t="s">
        <v>327</v>
      </c>
      <c r="F37" t="s">
        <v>125</v>
      </c>
    </row>
    <row r="38" spans="1:6" x14ac:dyDescent="0.2">
      <c r="A38" t="s">
        <v>50</v>
      </c>
      <c r="B38" t="s">
        <v>13</v>
      </c>
      <c r="C38">
        <v>3</v>
      </c>
      <c r="D38" t="s">
        <v>88</v>
      </c>
      <c r="E38" t="s">
        <v>327</v>
      </c>
      <c r="F38" t="s">
        <v>126</v>
      </c>
    </row>
    <row r="39" spans="1:6" x14ac:dyDescent="0.2">
      <c r="A39" t="s">
        <v>51</v>
      </c>
      <c r="B39" t="s">
        <v>13</v>
      </c>
      <c r="C39">
        <v>2</v>
      </c>
      <c r="D39" t="s">
        <v>89</v>
      </c>
      <c r="E39" t="s">
        <v>327</v>
      </c>
      <c r="F39" t="s">
        <v>127</v>
      </c>
    </row>
    <row r="40" spans="1:6" x14ac:dyDescent="0.2">
      <c r="A40" t="s">
        <v>133</v>
      </c>
      <c r="B40" t="s">
        <v>128</v>
      </c>
      <c r="C40">
        <v>-10</v>
      </c>
      <c r="D40" t="s">
        <v>155</v>
      </c>
      <c r="E40" t="s">
        <v>328</v>
      </c>
      <c r="F40" t="s">
        <v>177</v>
      </c>
    </row>
    <row r="41" spans="1:6" x14ac:dyDescent="0.2">
      <c r="A41" t="s">
        <v>134</v>
      </c>
      <c r="B41" t="s">
        <v>128</v>
      </c>
      <c r="C41">
        <v>-5</v>
      </c>
      <c r="D41" t="s">
        <v>156</v>
      </c>
      <c r="E41" t="s">
        <v>328</v>
      </c>
      <c r="F41" t="s">
        <v>178</v>
      </c>
    </row>
    <row r="42" spans="1:6" x14ac:dyDescent="0.2">
      <c r="A42" t="s">
        <v>135</v>
      </c>
      <c r="B42" t="s">
        <v>128</v>
      </c>
      <c r="C42">
        <v>-5</v>
      </c>
      <c r="D42" t="s">
        <v>157</v>
      </c>
      <c r="E42" t="s">
        <v>328</v>
      </c>
      <c r="F42" t="s">
        <v>179</v>
      </c>
    </row>
    <row r="43" spans="1:6" x14ac:dyDescent="0.2">
      <c r="A43" t="s">
        <v>136</v>
      </c>
      <c r="B43" t="s">
        <v>128</v>
      </c>
      <c r="C43">
        <v>-8</v>
      </c>
      <c r="D43" t="s">
        <v>158</v>
      </c>
      <c r="E43" t="s">
        <v>328</v>
      </c>
      <c r="F43" t="s">
        <v>180</v>
      </c>
    </row>
    <row r="44" spans="1:6" x14ac:dyDescent="0.2">
      <c r="A44" t="s">
        <v>137</v>
      </c>
      <c r="B44" t="s">
        <v>128</v>
      </c>
      <c r="C44">
        <v>-15</v>
      </c>
      <c r="D44" t="s">
        <v>159</v>
      </c>
      <c r="E44" t="s">
        <v>328</v>
      </c>
      <c r="F44" t="s">
        <v>181</v>
      </c>
    </row>
    <row r="45" spans="1:6" x14ac:dyDescent="0.2">
      <c r="A45" t="s">
        <v>138</v>
      </c>
      <c r="B45" t="s">
        <v>128</v>
      </c>
      <c r="C45">
        <v>-10</v>
      </c>
      <c r="D45" t="s">
        <v>160</v>
      </c>
      <c r="E45" t="s">
        <v>328</v>
      </c>
      <c r="F45" t="s">
        <v>182</v>
      </c>
    </row>
    <row r="46" spans="1:6" x14ac:dyDescent="0.2">
      <c r="A46" t="s">
        <v>139</v>
      </c>
      <c r="B46" t="s">
        <v>129</v>
      </c>
      <c r="C46">
        <v>-15</v>
      </c>
      <c r="D46" t="s">
        <v>161</v>
      </c>
      <c r="E46" t="s">
        <v>328</v>
      </c>
      <c r="F46" t="s">
        <v>183</v>
      </c>
    </row>
    <row r="47" spans="1:6" x14ac:dyDescent="0.2">
      <c r="A47" t="s">
        <v>140</v>
      </c>
      <c r="B47" t="s">
        <v>129</v>
      </c>
      <c r="C47">
        <v>-25</v>
      </c>
      <c r="D47" t="s">
        <v>162</v>
      </c>
      <c r="E47" t="s">
        <v>328</v>
      </c>
      <c r="F47" t="s">
        <v>184</v>
      </c>
    </row>
    <row r="48" spans="1:6" x14ac:dyDescent="0.2">
      <c r="A48" t="s">
        <v>141</v>
      </c>
      <c r="B48" t="s">
        <v>129</v>
      </c>
      <c r="C48">
        <v>-10</v>
      </c>
      <c r="D48" t="s">
        <v>163</v>
      </c>
      <c r="E48" t="s">
        <v>328</v>
      </c>
      <c r="F48" t="s">
        <v>185</v>
      </c>
    </row>
    <row r="49" spans="1:6" x14ac:dyDescent="0.2">
      <c r="A49" t="s">
        <v>142</v>
      </c>
      <c r="B49" t="s">
        <v>130</v>
      </c>
      <c r="C49">
        <v>-5</v>
      </c>
      <c r="D49" t="s">
        <v>164</v>
      </c>
      <c r="E49" t="s">
        <v>328</v>
      </c>
      <c r="F49" t="s">
        <v>186</v>
      </c>
    </row>
    <row r="50" spans="1:6" x14ac:dyDescent="0.2">
      <c r="A50" t="s">
        <v>143</v>
      </c>
      <c r="B50" t="s">
        <v>130</v>
      </c>
      <c r="C50">
        <v>-15</v>
      </c>
      <c r="D50" t="s">
        <v>165</v>
      </c>
      <c r="E50" t="s">
        <v>328</v>
      </c>
      <c r="F50" t="s">
        <v>187</v>
      </c>
    </row>
    <row r="51" spans="1:6" x14ac:dyDescent="0.2">
      <c r="A51" t="s">
        <v>144</v>
      </c>
      <c r="B51" t="s">
        <v>130</v>
      </c>
      <c r="C51">
        <v>-8</v>
      </c>
      <c r="D51" t="s">
        <v>166</v>
      </c>
      <c r="E51" t="s">
        <v>328</v>
      </c>
      <c r="F51" t="s">
        <v>188</v>
      </c>
    </row>
    <row r="52" spans="1:6" x14ac:dyDescent="0.2">
      <c r="A52" t="s">
        <v>145</v>
      </c>
      <c r="B52" t="s">
        <v>131</v>
      </c>
      <c r="C52">
        <v>-6</v>
      </c>
      <c r="D52" t="s">
        <v>167</v>
      </c>
      <c r="E52" t="s">
        <v>328</v>
      </c>
      <c r="F52" t="s">
        <v>189</v>
      </c>
    </row>
    <row r="53" spans="1:6" x14ac:dyDescent="0.2">
      <c r="A53" t="s">
        <v>146</v>
      </c>
      <c r="B53" t="s">
        <v>131</v>
      </c>
      <c r="C53">
        <v>-5</v>
      </c>
      <c r="D53" t="s">
        <v>168</v>
      </c>
      <c r="E53" t="s">
        <v>328</v>
      </c>
      <c r="F53" t="s">
        <v>190</v>
      </c>
    </row>
    <row r="54" spans="1:6" x14ac:dyDescent="0.2">
      <c r="A54" t="s">
        <v>147</v>
      </c>
      <c r="B54" t="s">
        <v>131</v>
      </c>
      <c r="C54">
        <v>-7</v>
      </c>
      <c r="D54" t="s">
        <v>169</v>
      </c>
      <c r="E54" t="s">
        <v>328</v>
      </c>
      <c r="F54" t="s">
        <v>191</v>
      </c>
    </row>
    <row r="55" spans="1:6" x14ac:dyDescent="0.2">
      <c r="A55" t="s">
        <v>148</v>
      </c>
      <c r="B55" t="s">
        <v>132</v>
      </c>
      <c r="C55">
        <v>-10</v>
      </c>
      <c r="D55" t="s">
        <v>170</v>
      </c>
      <c r="E55" t="s">
        <v>328</v>
      </c>
      <c r="F55" t="s">
        <v>192</v>
      </c>
    </row>
    <row r="56" spans="1:6" x14ac:dyDescent="0.2">
      <c r="A56" t="s">
        <v>149</v>
      </c>
      <c r="B56" t="s">
        <v>132</v>
      </c>
      <c r="C56">
        <v>-4</v>
      </c>
      <c r="D56" t="s">
        <v>171</v>
      </c>
      <c r="E56" t="s">
        <v>328</v>
      </c>
      <c r="F56" t="s">
        <v>193</v>
      </c>
    </row>
    <row r="57" spans="1:6" x14ac:dyDescent="0.2">
      <c r="A57" t="s">
        <v>150</v>
      </c>
      <c r="B57" t="s">
        <v>132</v>
      </c>
      <c r="C57">
        <v>-15</v>
      </c>
      <c r="D57" t="s">
        <v>172</v>
      </c>
      <c r="E57" t="s">
        <v>328</v>
      </c>
      <c r="F57" t="s">
        <v>194</v>
      </c>
    </row>
    <row r="58" spans="1:6" x14ac:dyDescent="0.2">
      <c r="A58" t="s">
        <v>151</v>
      </c>
      <c r="B58" t="s">
        <v>13</v>
      </c>
      <c r="C58">
        <v>-5</v>
      </c>
      <c r="D58" t="s">
        <v>173</v>
      </c>
      <c r="E58" t="s">
        <v>328</v>
      </c>
      <c r="F58" t="s">
        <v>195</v>
      </c>
    </row>
    <row r="59" spans="1:6" x14ac:dyDescent="0.2">
      <c r="A59" t="s">
        <v>152</v>
      </c>
      <c r="B59" t="s">
        <v>13</v>
      </c>
      <c r="C59">
        <v>-1</v>
      </c>
      <c r="D59" t="s">
        <v>174</v>
      </c>
      <c r="E59" t="s">
        <v>328</v>
      </c>
      <c r="F59" t="s">
        <v>196</v>
      </c>
    </row>
    <row r="60" spans="1:6" x14ac:dyDescent="0.2">
      <c r="A60" t="s">
        <v>153</v>
      </c>
      <c r="B60" t="s">
        <v>13</v>
      </c>
      <c r="C60">
        <v>-5</v>
      </c>
      <c r="D60" t="s">
        <v>175</v>
      </c>
      <c r="E60" t="s">
        <v>328</v>
      </c>
      <c r="F60" t="s">
        <v>197</v>
      </c>
    </row>
    <row r="61" spans="1:6" x14ac:dyDescent="0.2">
      <c r="A61" t="s">
        <v>154</v>
      </c>
      <c r="B61" t="s">
        <v>13</v>
      </c>
      <c r="C61">
        <v>-2</v>
      </c>
      <c r="D61" t="s">
        <v>176</v>
      </c>
      <c r="E61" t="s">
        <v>328</v>
      </c>
      <c r="F61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workbookViewId="0">
      <selection activeCell="B1" sqref="A1:B1048576"/>
    </sheetView>
  </sheetViews>
  <sheetFormatPr baseColWidth="10" defaultColWidth="8.83203125" defaultRowHeight="15" x14ac:dyDescent="0.2"/>
  <cols>
    <col min="1" max="1" width="18.83203125" bestFit="1" customWidth="1"/>
    <col min="2" max="2" width="11" bestFit="1" customWidth="1"/>
  </cols>
  <sheetData>
    <row r="1" spans="1:2" x14ac:dyDescent="0.2">
      <c r="A1" s="1" t="s">
        <v>0</v>
      </c>
      <c r="B1" s="1" t="s">
        <v>329</v>
      </c>
    </row>
    <row r="2" spans="1:2" x14ac:dyDescent="0.2">
      <c r="A2" t="s">
        <v>5</v>
      </c>
      <c r="B2" t="s">
        <v>330</v>
      </c>
    </row>
    <row r="3" spans="1:2" x14ac:dyDescent="0.2">
      <c r="A3" t="s">
        <v>6</v>
      </c>
      <c r="B3" t="s">
        <v>331</v>
      </c>
    </row>
    <row r="4" spans="1:2" x14ac:dyDescent="0.2">
      <c r="A4" t="s">
        <v>7</v>
      </c>
      <c r="B4" t="s">
        <v>332</v>
      </c>
    </row>
    <row r="5" spans="1:2" x14ac:dyDescent="0.2">
      <c r="A5" t="s">
        <v>8</v>
      </c>
      <c r="B5" t="s">
        <v>8</v>
      </c>
    </row>
    <row r="6" spans="1:2" x14ac:dyDescent="0.2">
      <c r="A6" t="s">
        <v>9</v>
      </c>
      <c r="B6" t="s">
        <v>129</v>
      </c>
    </row>
    <row r="7" spans="1:2" x14ac:dyDescent="0.2">
      <c r="A7" t="s">
        <v>10</v>
      </c>
      <c r="B7" t="s">
        <v>333</v>
      </c>
    </row>
    <row r="8" spans="1:2" x14ac:dyDescent="0.2">
      <c r="A8" t="s">
        <v>11</v>
      </c>
      <c r="B8" t="s">
        <v>334</v>
      </c>
    </row>
    <row r="9" spans="1:2" x14ac:dyDescent="0.2">
      <c r="A9" t="s">
        <v>12</v>
      </c>
      <c r="B9" t="s">
        <v>132</v>
      </c>
    </row>
    <row r="10" spans="1:2" x14ac:dyDescent="0.2">
      <c r="A10" t="s">
        <v>13</v>
      </c>
      <c r="B10" t="s">
        <v>335</v>
      </c>
    </row>
    <row r="11" spans="1:2" x14ac:dyDescent="0.2">
      <c r="A11" t="s">
        <v>128</v>
      </c>
      <c r="B11" t="s">
        <v>128</v>
      </c>
    </row>
    <row r="12" spans="1:2" x14ac:dyDescent="0.2">
      <c r="A12" t="s">
        <v>130</v>
      </c>
      <c r="B12" t="s">
        <v>336</v>
      </c>
    </row>
    <row r="13" spans="1:2" x14ac:dyDescent="0.2">
      <c r="A13" t="s">
        <v>131</v>
      </c>
      <c r="B13" t="s">
        <v>337</v>
      </c>
    </row>
    <row r="14" spans="1:2" x14ac:dyDescent="0.2">
      <c r="A14" t="s">
        <v>132</v>
      </c>
      <c r="B14" t="s">
        <v>132</v>
      </c>
    </row>
    <row r="15" spans="1:2" x14ac:dyDescent="0.2">
      <c r="A15" t="s">
        <v>129</v>
      </c>
      <c r="B15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329</v>
      </c>
      <c r="B1" s="1" t="s">
        <v>338</v>
      </c>
      <c r="C1" s="1" t="s">
        <v>4</v>
      </c>
    </row>
    <row r="2" spans="1:3" x14ac:dyDescent="0.2">
      <c r="A2" t="s">
        <v>330</v>
      </c>
      <c r="B2">
        <v>1</v>
      </c>
      <c r="C2" t="s">
        <v>339</v>
      </c>
    </row>
    <row r="3" spans="1:3" x14ac:dyDescent="0.2">
      <c r="A3" t="s">
        <v>331</v>
      </c>
      <c r="B3">
        <v>1</v>
      </c>
      <c r="C3" t="s">
        <v>340</v>
      </c>
    </row>
    <row r="4" spans="1:3" x14ac:dyDescent="0.2">
      <c r="A4" t="s">
        <v>332</v>
      </c>
      <c r="B4">
        <v>1</v>
      </c>
      <c r="C4" t="s">
        <v>341</v>
      </c>
    </row>
    <row r="5" spans="1:3" x14ac:dyDescent="0.2">
      <c r="A5" t="s">
        <v>8</v>
      </c>
      <c r="B5">
        <v>1</v>
      </c>
      <c r="C5" t="s">
        <v>342</v>
      </c>
    </row>
    <row r="6" spans="1:3" x14ac:dyDescent="0.2">
      <c r="A6" t="s">
        <v>129</v>
      </c>
      <c r="B6">
        <v>1</v>
      </c>
      <c r="C6" t="s">
        <v>343</v>
      </c>
    </row>
    <row r="7" spans="1:3" x14ac:dyDescent="0.2">
      <c r="A7" t="s">
        <v>333</v>
      </c>
      <c r="B7">
        <v>1</v>
      </c>
      <c r="C7" t="s">
        <v>344</v>
      </c>
    </row>
    <row r="8" spans="1:3" x14ac:dyDescent="0.2">
      <c r="A8" t="s">
        <v>334</v>
      </c>
      <c r="B8">
        <v>1</v>
      </c>
      <c r="C8" t="s">
        <v>345</v>
      </c>
    </row>
    <row r="9" spans="1:3" x14ac:dyDescent="0.2">
      <c r="A9" t="s">
        <v>132</v>
      </c>
      <c r="B9">
        <v>1</v>
      </c>
      <c r="C9" t="s">
        <v>346</v>
      </c>
    </row>
    <row r="10" spans="1:3" x14ac:dyDescent="0.2">
      <c r="A10" t="s">
        <v>335</v>
      </c>
      <c r="B10">
        <v>1</v>
      </c>
      <c r="C10" t="s">
        <v>347</v>
      </c>
    </row>
    <row r="11" spans="1:3" x14ac:dyDescent="0.2">
      <c r="A11" t="s">
        <v>128</v>
      </c>
      <c r="B11">
        <v>1</v>
      </c>
      <c r="C11" t="s">
        <v>348</v>
      </c>
    </row>
    <row r="12" spans="1:3" x14ac:dyDescent="0.2">
      <c r="A12" t="s">
        <v>336</v>
      </c>
      <c r="B12">
        <v>1</v>
      </c>
      <c r="C12" t="s">
        <v>349</v>
      </c>
    </row>
    <row r="13" spans="1:3" x14ac:dyDescent="0.2">
      <c r="A13" t="s">
        <v>337</v>
      </c>
      <c r="B13">
        <v>1</v>
      </c>
      <c r="C13" t="s">
        <v>350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9"/>
  <sheetViews>
    <sheetView workbookViewId="0">
      <selection activeCell="E24" sqref="E24"/>
    </sheetView>
  </sheetViews>
  <sheetFormatPr baseColWidth="10" defaultColWidth="8.83203125" defaultRowHeight="15" x14ac:dyDescent="0.2"/>
  <cols>
    <col min="1" max="1" width="34.6640625" customWidth="1"/>
    <col min="2" max="2" width="22.6640625" customWidth="1"/>
    <col min="3" max="3" width="14.6640625" customWidth="1"/>
    <col min="4" max="4" width="12.6640625" customWidth="1"/>
    <col min="5" max="5" width="36.6640625" customWidth="1"/>
    <col min="6" max="6" width="8.6640625" customWidth="1"/>
    <col min="7" max="7" width="16.6640625" customWidth="1"/>
    <col min="8" max="8" width="12.6640625" customWidth="1"/>
    <col min="9" max="9" width="36.6640625" customWidth="1"/>
  </cols>
  <sheetData>
    <row r="1" spans="1:9" x14ac:dyDescent="0.2">
      <c r="A1" s="2" t="s">
        <v>351</v>
      </c>
      <c r="B1" s="3" cm="1">
        <f t="array" ref="B1">_xlfn.XLOOKUP($C$1,Harmony_Mults!$A:$A,Harmony_Mults!$B:$B,1)</f>
        <v>0</v>
      </c>
    </row>
    <row r="3" spans="1:9" x14ac:dyDescent="0.2">
      <c r="A3" s="2" t="s">
        <v>1</v>
      </c>
      <c r="B3" s="2" t="s">
        <v>0</v>
      </c>
      <c r="C3" s="2" t="s">
        <v>329</v>
      </c>
      <c r="D3" s="2" t="s">
        <v>2</v>
      </c>
      <c r="E3" s="2" t="s">
        <v>3</v>
      </c>
      <c r="F3" s="2" t="s">
        <v>352</v>
      </c>
      <c r="G3" s="2" t="s">
        <v>202</v>
      </c>
      <c r="H3" s="2" t="s">
        <v>353</v>
      </c>
      <c r="I3" s="2" t="s">
        <v>4</v>
      </c>
    </row>
    <row r="4" spans="1:9" x14ac:dyDescent="0.2">
      <c r="B4" cm="1">
        <f t="array" ref="B4">IFERROR(_xlfn.XLOOKUP($A4,Events_Index!$A:$A,Events_Index!$B:$B,""),"")</f>
        <v>0</v>
      </c>
      <c r="C4" t="str" cm="1">
        <f t="array" ref="C4">IFERROR(_xlfn.XLOOKUP($B4,Tag_Map!$A:$A,Tag_Map!$B:$B,""),"")</f>
        <v/>
      </c>
      <c r="D4" cm="1">
        <f t="array" ref="D4">IFERROR(_xlfn.XLOOKUP($A4,Events_Index!$A:$A,Events_Index!$C:$C,""),"")</f>
        <v>0</v>
      </c>
      <c r="E4" cm="1">
        <f t="array" ref="E4">IFERROR(_xlfn.XLOOKUP($A4,Events_Index!$A:$A,Events_Index!$D:$D,""),"")</f>
        <v>0</v>
      </c>
      <c r="F4">
        <v>1</v>
      </c>
      <c r="H4" cm="1">
        <f t="array" ref="H4">IF($A4="",0, VALUE(SUBSTITUTE($D4,"+",""))*IF(LEFT($D4,1)="-",   _xlfn.XLOOKUP($G4,Temperament_Tuning!$B:$B,Temperament_Tuning!$D:$D,1),   _xlfn.XLOOKUP($G4,Temperament_Tuning!$B:$B,Temperament_Tuning!$C:$C,1))* $B$1* IF($C4="",1,_xlfn.XLOOKUP($C4,Tag_Weights!$A:$A,Tag_Weights!$B:$B,1))* $F4 )</f>
        <v>0</v>
      </c>
      <c r="I4" cm="1">
        <f t="array" ref="I4">IFERROR(_xlfn.XLOOKUP($A4,Events_Index!$A:$A,Events_Index!$F:$F,""),"")</f>
        <v>0</v>
      </c>
    </row>
    <row r="5" spans="1:9" x14ac:dyDescent="0.2">
      <c r="B5" cm="1">
        <f t="array" ref="B5">IFERROR(_xlfn.XLOOKUP($A5,Events_Index!$A:$A,Events_Index!$B:$B,""),"")</f>
        <v>0</v>
      </c>
      <c r="C5" t="str" cm="1">
        <f t="array" ref="C5">IFERROR(_xlfn.XLOOKUP($B5,Tag_Map!$A:$A,Tag_Map!$B:$B,""),"")</f>
        <v/>
      </c>
      <c r="D5" cm="1">
        <f t="array" ref="D5">IFERROR(_xlfn.XLOOKUP($A5,Events_Index!$A:$A,Events_Index!$C:$C,""),"")</f>
        <v>0</v>
      </c>
      <c r="E5" cm="1">
        <f t="array" ref="E5">IFERROR(_xlfn.XLOOKUP($A5,Events_Index!$A:$A,Events_Index!$D:$D,""),"")</f>
        <v>0</v>
      </c>
      <c r="F5">
        <v>1</v>
      </c>
      <c r="H5" cm="1">
        <f t="array" ref="H5">IF($A5="",0, VALUE(SUBSTITUTE($D5,"+",""))*IF(LEFT($D5,1)="-",   _xlfn.XLOOKUP($G5,Temperament_Tuning!$B:$B,Temperament_Tuning!$D:$D,1),   _xlfn.XLOOKUP($G5,Temperament_Tuning!$B:$B,Temperament_Tuning!$C:$C,1))* $B$1* IF($C5="",1,_xlfn.XLOOKUP($C5,Tag_Weights!$A:$A,Tag_Weights!$B:$B,1))* $F5 )</f>
        <v>0</v>
      </c>
      <c r="I5" cm="1">
        <f t="array" ref="I5">IFERROR(_xlfn.XLOOKUP($A5,Events_Index!$A:$A,Events_Index!$F:$F,""),"")</f>
        <v>0</v>
      </c>
    </row>
    <row r="6" spans="1:9" x14ac:dyDescent="0.2">
      <c r="B6" cm="1">
        <f t="array" ref="B6">IFERROR(_xlfn.XLOOKUP($A6,Events_Index!$A:$A,Events_Index!$B:$B,""),"")</f>
        <v>0</v>
      </c>
      <c r="C6" t="str" cm="1">
        <f t="array" ref="C6">IFERROR(_xlfn.XLOOKUP($B6,Tag_Map!$A:$A,Tag_Map!$B:$B,""),"")</f>
        <v/>
      </c>
      <c r="D6" cm="1">
        <f t="array" ref="D6">IFERROR(_xlfn.XLOOKUP($A6,Events_Index!$A:$A,Events_Index!$C:$C,""),"")</f>
        <v>0</v>
      </c>
      <c r="E6" cm="1">
        <f t="array" ref="E6">IFERROR(_xlfn.XLOOKUP($A6,Events_Index!$A:$A,Events_Index!$D:$D,""),"")</f>
        <v>0</v>
      </c>
      <c r="F6">
        <v>1</v>
      </c>
      <c r="H6" cm="1">
        <f t="array" ref="H6">IF($A6="",0, VALUE(SUBSTITUTE($D6,"+",""))*IF(LEFT($D6,1)="-",   _xlfn.XLOOKUP($G6,Temperament_Tuning!$B:$B,Temperament_Tuning!$D:$D,1),   _xlfn.XLOOKUP($G6,Temperament_Tuning!$B:$B,Temperament_Tuning!$C:$C,1))* $B$1* IF($C6="",1,_xlfn.XLOOKUP($C6,Tag_Weights!$A:$A,Tag_Weights!$B:$B,1))* $F6 )</f>
        <v>0</v>
      </c>
      <c r="I6" cm="1">
        <f t="array" ref="I6">IFERROR(_xlfn.XLOOKUP($A6,Events_Index!$A:$A,Events_Index!$F:$F,""),"")</f>
        <v>0</v>
      </c>
    </row>
    <row r="7" spans="1:9" x14ac:dyDescent="0.2">
      <c r="B7" cm="1">
        <f t="array" ref="B7">IFERROR(_xlfn.XLOOKUP($A7,Events_Index!$A:$A,Events_Index!$B:$B,""),"")</f>
        <v>0</v>
      </c>
      <c r="C7" t="str" cm="1">
        <f t="array" ref="C7">IFERROR(_xlfn.XLOOKUP($B7,Tag_Map!$A:$A,Tag_Map!$B:$B,""),"")</f>
        <v/>
      </c>
      <c r="D7" cm="1">
        <f t="array" ref="D7">IFERROR(_xlfn.XLOOKUP($A7,Events_Index!$A:$A,Events_Index!$C:$C,""),"")</f>
        <v>0</v>
      </c>
      <c r="E7" cm="1">
        <f t="array" ref="E7">IFERROR(_xlfn.XLOOKUP($A7,Events_Index!$A:$A,Events_Index!$D:$D,""),"")</f>
        <v>0</v>
      </c>
      <c r="F7">
        <v>1</v>
      </c>
      <c r="H7" cm="1">
        <f t="array" ref="H7">IF($A7="",0, VALUE(SUBSTITUTE($D7,"+",""))*IF(LEFT($D7,1)="-",   _xlfn.XLOOKUP($G7,Temperament_Tuning!$B:$B,Temperament_Tuning!$D:$D,1),   _xlfn.XLOOKUP($G7,Temperament_Tuning!$B:$B,Temperament_Tuning!$C:$C,1))* $B$1* IF($C7="",1,_xlfn.XLOOKUP($C7,Tag_Weights!$A:$A,Tag_Weights!$B:$B,1))* $F7 )</f>
        <v>0</v>
      </c>
      <c r="I7" cm="1">
        <f t="array" ref="I7">IFERROR(_xlfn.XLOOKUP($A7,Events_Index!$A:$A,Events_Index!$F:$F,""),"")</f>
        <v>0</v>
      </c>
    </row>
    <row r="8" spans="1:9" x14ac:dyDescent="0.2">
      <c r="B8" cm="1">
        <f t="array" ref="B8">IFERROR(_xlfn.XLOOKUP($A8,Events_Index!$A:$A,Events_Index!$B:$B,""),"")</f>
        <v>0</v>
      </c>
      <c r="C8" t="str" cm="1">
        <f t="array" ref="C8">IFERROR(_xlfn.XLOOKUP($B8,Tag_Map!$A:$A,Tag_Map!$B:$B,""),"")</f>
        <v/>
      </c>
      <c r="D8" cm="1">
        <f t="array" ref="D8">IFERROR(_xlfn.XLOOKUP($A8,Events_Index!$A:$A,Events_Index!$C:$C,""),"")</f>
        <v>0</v>
      </c>
      <c r="E8" cm="1">
        <f t="array" ref="E8">IFERROR(_xlfn.XLOOKUP($A8,Events_Index!$A:$A,Events_Index!$D:$D,""),"")</f>
        <v>0</v>
      </c>
      <c r="F8">
        <v>1</v>
      </c>
      <c r="H8" cm="1">
        <f t="array" ref="H8">IF($A8="",0, VALUE(SUBSTITUTE($D8,"+",""))*IF(LEFT($D8,1)="-",   _xlfn.XLOOKUP($G8,Temperament_Tuning!$B:$B,Temperament_Tuning!$D:$D,1),   _xlfn.XLOOKUP($G8,Temperament_Tuning!$B:$B,Temperament_Tuning!$C:$C,1))* $B$1* IF($C8="",1,_xlfn.XLOOKUP($C8,Tag_Weights!$A:$A,Tag_Weights!$B:$B,1))* $F8 )</f>
        <v>0</v>
      </c>
      <c r="I8" cm="1">
        <f t="array" ref="I8">IFERROR(_xlfn.XLOOKUP($A8,Events_Index!$A:$A,Events_Index!$F:$F,""),"")</f>
        <v>0</v>
      </c>
    </row>
    <row r="9" spans="1:9" x14ac:dyDescent="0.2">
      <c r="B9" cm="1">
        <f t="array" ref="B9">IFERROR(_xlfn.XLOOKUP($A9,Events_Index!$A:$A,Events_Index!$B:$B,""),"")</f>
        <v>0</v>
      </c>
      <c r="C9" t="str" cm="1">
        <f t="array" ref="C9">IFERROR(_xlfn.XLOOKUP($B9,Tag_Map!$A:$A,Tag_Map!$B:$B,""),"")</f>
        <v/>
      </c>
      <c r="D9" cm="1">
        <f t="array" ref="D9">IFERROR(_xlfn.XLOOKUP($A9,Events_Index!$A:$A,Events_Index!$C:$C,""),"")</f>
        <v>0</v>
      </c>
      <c r="E9" cm="1">
        <f t="array" ref="E9">IFERROR(_xlfn.XLOOKUP($A9,Events_Index!$A:$A,Events_Index!$D:$D,""),"")</f>
        <v>0</v>
      </c>
      <c r="F9">
        <v>1</v>
      </c>
      <c r="H9" cm="1">
        <f t="array" ref="H9">IF($A9="",0, VALUE(SUBSTITUTE($D9,"+",""))*IF(LEFT($D9,1)="-",   _xlfn.XLOOKUP($G9,Temperament_Tuning!$B:$B,Temperament_Tuning!$D:$D,1),   _xlfn.XLOOKUP($G9,Temperament_Tuning!$B:$B,Temperament_Tuning!$C:$C,1))* $B$1* IF($C9="",1,_xlfn.XLOOKUP($C9,Tag_Weights!$A:$A,Tag_Weights!$B:$B,1))* $F9 )</f>
        <v>0</v>
      </c>
      <c r="I9" cm="1">
        <f t="array" ref="I9">IFERROR(_xlfn.XLOOKUP($A9,Events_Index!$A:$A,Events_Index!$F:$F,""),"")</f>
        <v>0</v>
      </c>
    </row>
    <row r="10" spans="1:9" x14ac:dyDescent="0.2">
      <c r="B10" cm="1">
        <f t="array" ref="B10">IFERROR(_xlfn.XLOOKUP($A10,Events_Index!$A:$A,Events_Index!$B:$B,""),"")</f>
        <v>0</v>
      </c>
      <c r="C10" t="str" cm="1">
        <f t="array" ref="C10">IFERROR(_xlfn.XLOOKUP($B10,Tag_Map!$A:$A,Tag_Map!$B:$B,""),"")</f>
        <v/>
      </c>
      <c r="D10" cm="1">
        <f t="array" ref="D10">IFERROR(_xlfn.XLOOKUP($A10,Events_Index!$A:$A,Events_Index!$C:$C,""),"")</f>
        <v>0</v>
      </c>
      <c r="E10" cm="1">
        <f t="array" ref="E10">IFERROR(_xlfn.XLOOKUP($A10,Events_Index!$A:$A,Events_Index!$D:$D,""),"")</f>
        <v>0</v>
      </c>
      <c r="F10">
        <v>1</v>
      </c>
      <c r="H10" cm="1">
        <f t="array" ref="H10">IF($A10="",0, VALUE(SUBSTITUTE($D10,"+",""))*IF(LEFT($D10,1)="-",   _xlfn.XLOOKUP($G10,Temperament_Tuning!$B:$B,Temperament_Tuning!$D:$D,1),   _xlfn.XLOOKUP($G10,Temperament_Tuning!$B:$B,Temperament_Tuning!$C:$C,1))* $B$1* IF($C10="",1,_xlfn.XLOOKUP($C10,Tag_Weights!$A:$A,Tag_Weights!$B:$B,1))* $F10 )</f>
        <v>0</v>
      </c>
      <c r="I10" cm="1">
        <f t="array" ref="I10">IFERROR(_xlfn.XLOOKUP($A10,Events_Index!$A:$A,Events_Index!$F:$F,""),"")</f>
        <v>0</v>
      </c>
    </row>
    <row r="11" spans="1:9" x14ac:dyDescent="0.2">
      <c r="B11" cm="1">
        <f t="array" ref="B11">IFERROR(_xlfn.XLOOKUP($A11,Events_Index!$A:$A,Events_Index!$B:$B,""),"")</f>
        <v>0</v>
      </c>
      <c r="C11" t="str" cm="1">
        <f t="array" ref="C11">IFERROR(_xlfn.XLOOKUP($B11,Tag_Map!$A:$A,Tag_Map!$B:$B,""),"")</f>
        <v/>
      </c>
      <c r="D11" cm="1">
        <f t="array" ref="D11">IFERROR(_xlfn.XLOOKUP($A11,Events_Index!$A:$A,Events_Index!$C:$C,""),"")</f>
        <v>0</v>
      </c>
      <c r="E11" cm="1">
        <f t="array" ref="E11">IFERROR(_xlfn.XLOOKUP($A11,Events_Index!$A:$A,Events_Index!$D:$D,""),"")</f>
        <v>0</v>
      </c>
      <c r="F11">
        <v>1</v>
      </c>
      <c r="H11" cm="1">
        <f t="array" ref="H11">IF($A11="",0, VALUE(SUBSTITUTE($D11,"+",""))*IF(LEFT($D11,1)="-",   _xlfn.XLOOKUP($G11,Temperament_Tuning!$B:$B,Temperament_Tuning!$D:$D,1),   _xlfn.XLOOKUP($G11,Temperament_Tuning!$B:$B,Temperament_Tuning!$C:$C,1))* $B$1* IF($C11="",1,_xlfn.XLOOKUP($C11,Tag_Weights!$A:$A,Tag_Weights!$B:$B,1))* $F11 )</f>
        <v>0</v>
      </c>
      <c r="I11" cm="1">
        <f t="array" ref="I11">IFERROR(_xlfn.XLOOKUP($A11,Events_Index!$A:$A,Events_Index!$F:$F,""),"")</f>
        <v>0</v>
      </c>
    </row>
    <row r="12" spans="1:9" x14ac:dyDescent="0.2">
      <c r="B12" cm="1">
        <f t="array" ref="B12">IFERROR(_xlfn.XLOOKUP($A12,Events_Index!$A:$A,Events_Index!$B:$B,""),"")</f>
        <v>0</v>
      </c>
      <c r="C12" t="str" cm="1">
        <f t="array" ref="C12">IFERROR(_xlfn.XLOOKUP($B12,Tag_Map!$A:$A,Tag_Map!$B:$B,""),"")</f>
        <v/>
      </c>
      <c r="D12" cm="1">
        <f t="array" ref="D12">IFERROR(_xlfn.XLOOKUP($A12,Events_Index!$A:$A,Events_Index!$C:$C,""),"")</f>
        <v>0</v>
      </c>
      <c r="E12" cm="1">
        <f t="array" ref="E12">IFERROR(_xlfn.XLOOKUP($A12,Events_Index!$A:$A,Events_Index!$D:$D,""),"")</f>
        <v>0</v>
      </c>
      <c r="F12">
        <v>1</v>
      </c>
      <c r="H12" cm="1">
        <f t="array" ref="H12">IF($A12="",0, VALUE(SUBSTITUTE($D12,"+",""))*IF(LEFT($D12,1)="-",   _xlfn.XLOOKUP($G12,Temperament_Tuning!$B:$B,Temperament_Tuning!$D:$D,1),   _xlfn.XLOOKUP($G12,Temperament_Tuning!$B:$B,Temperament_Tuning!$C:$C,1))* $B$1* IF($C12="",1,_xlfn.XLOOKUP($C12,Tag_Weights!$A:$A,Tag_Weights!$B:$B,1))* $F12 )</f>
        <v>0</v>
      </c>
      <c r="I12" cm="1">
        <f t="array" ref="I12">IFERROR(_xlfn.XLOOKUP($A12,Events_Index!$A:$A,Events_Index!$F:$F,""),"")</f>
        <v>0</v>
      </c>
    </row>
    <row r="13" spans="1:9" x14ac:dyDescent="0.2">
      <c r="B13" cm="1">
        <f t="array" ref="B13">IFERROR(_xlfn.XLOOKUP($A13,Events_Index!$A:$A,Events_Index!$B:$B,""),"")</f>
        <v>0</v>
      </c>
      <c r="C13" t="str" cm="1">
        <f t="array" ref="C13">IFERROR(_xlfn.XLOOKUP($B13,Tag_Map!$A:$A,Tag_Map!$B:$B,""),"")</f>
        <v/>
      </c>
      <c r="D13" cm="1">
        <f t="array" ref="D13">IFERROR(_xlfn.XLOOKUP($A13,Events_Index!$A:$A,Events_Index!$C:$C,""),"")</f>
        <v>0</v>
      </c>
      <c r="E13" cm="1">
        <f t="array" ref="E13">IFERROR(_xlfn.XLOOKUP($A13,Events_Index!$A:$A,Events_Index!$D:$D,""),"")</f>
        <v>0</v>
      </c>
      <c r="F13">
        <v>1</v>
      </c>
      <c r="H13" cm="1">
        <f t="array" ref="H13">IF($A13="",0, VALUE(SUBSTITUTE($D13,"+",""))*IF(LEFT($D13,1)="-",   _xlfn.XLOOKUP($G13,Temperament_Tuning!$B:$B,Temperament_Tuning!$D:$D,1),   _xlfn.XLOOKUP($G13,Temperament_Tuning!$B:$B,Temperament_Tuning!$C:$C,1))* $B$1* IF($C13="",1,_xlfn.XLOOKUP($C13,Tag_Weights!$A:$A,Tag_Weights!$B:$B,1))* $F13 )</f>
        <v>0</v>
      </c>
      <c r="I13" cm="1">
        <f t="array" ref="I13">IFERROR(_xlfn.XLOOKUP($A13,Events_Index!$A:$A,Events_Index!$F:$F,""),"")</f>
        <v>0</v>
      </c>
    </row>
    <row r="14" spans="1:9" x14ac:dyDescent="0.2">
      <c r="B14" cm="1">
        <f t="array" ref="B14">IFERROR(_xlfn.XLOOKUP($A14,Events_Index!$A:$A,Events_Index!$B:$B,""),"")</f>
        <v>0</v>
      </c>
      <c r="C14" t="str" cm="1">
        <f t="array" ref="C14">IFERROR(_xlfn.XLOOKUP($B14,Tag_Map!$A:$A,Tag_Map!$B:$B,""),"")</f>
        <v/>
      </c>
      <c r="D14" cm="1">
        <f t="array" ref="D14">IFERROR(_xlfn.XLOOKUP($A14,Events_Index!$A:$A,Events_Index!$C:$C,""),"")</f>
        <v>0</v>
      </c>
      <c r="E14" cm="1">
        <f t="array" ref="E14">IFERROR(_xlfn.XLOOKUP($A14,Events_Index!$A:$A,Events_Index!$D:$D,""),"")</f>
        <v>0</v>
      </c>
      <c r="F14">
        <v>1</v>
      </c>
      <c r="H14" cm="1">
        <f t="array" ref="H14">IF($A14="",0, VALUE(SUBSTITUTE($D14,"+",""))*IF(LEFT($D14,1)="-",   _xlfn.XLOOKUP($G14,Temperament_Tuning!$B:$B,Temperament_Tuning!$D:$D,1),   _xlfn.XLOOKUP($G14,Temperament_Tuning!$B:$B,Temperament_Tuning!$C:$C,1))* $B$1* IF($C14="",1,_xlfn.XLOOKUP($C14,Tag_Weights!$A:$A,Tag_Weights!$B:$B,1))* $F14 )</f>
        <v>0</v>
      </c>
      <c r="I14" cm="1">
        <f t="array" ref="I14">IFERROR(_xlfn.XLOOKUP($A14,Events_Index!$A:$A,Events_Index!$F:$F,""),"")</f>
        <v>0</v>
      </c>
    </row>
    <row r="15" spans="1:9" x14ac:dyDescent="0.2">
      <c r="B15" cm="1">
        <f t="array" ref="B15">IFERROR(_xlfn.XLOOKUP($A15,Events_Index!$A:$A,Events_Index!$B:$B,""),"")</f>
        <v>0</v>
      </c>
      <c r="C15" t="str" cm="1">
        <f t="array" ref="C15">IFERROR(_xlfn.XLOOKUP($B15,Tag_Map!$A:$A,Tag_Map!$B:$B,""),"")</f>
        <v/>
      </c>
      <c r="D15" cm="1">
        <f t="array" ref="D15">IFERROR(_xlfn.XLOOKUP($A15,Events_Index!$A:$A,Events_Index!$C:$C,""),"")</f>
        <v>0</v>
      </c>
      <c r="E15" cm="1">
        <f t="array" ref="E15">IFERROR(_xlfn.XLOOKUP($A15,Events_Index!$A:$A,Events_Index!$D:$D,""),"")</f>
        <v>0</v>
      </c>
      <c r="F15">
        <v>1</v>
      </c>
      <c r="H15" cm="1">
        <f t="array" ref="H15">IF($A15="",0, VALUE(SUBSTITUTE($D15,"+",""))*IF(LEFT($D15,1)="-",   _xlfn.XLOOKUP($G15,Temperament_Tuning!$B:$B,Temperament_Tuning!$D:$D,1),   _xlfn.XLOOKUP($G15,Temperament_Tuning!$B:$B,Temperament_Tuning!$C:$C,1))* $B$1* IF($C15="",1,_xlfn.XLOOKUP($C15,Tag_Weights!$A:$A,Tag_Weights!$B:$B,1))* $F15 )</f>
        <v>0</v>
      </c>
      <c r="I15" cm="1">
        <f t="array" ref="I15">IFERROR(_xlfn.XLOOKUP($A15,Events_Index!$A:$A,Events_Index!$F:$F,""),"")</f>
        <v>0</v>
      </c>
    </row>
    <row r="17" spans="7:8" x14ac:dyDescent="0.2">
      <c r="G17" s="2" t="s">
        <v>354</v>
      </c>
      <c r="H17" s="3">
        <f>SUM(H4:H15)</f>
        <v>0</v>
      </c>
    </row>
    <row r="18" spans="7:8" x14ac:dyDescent="0.2">
      <c r="G18" s="2" t="s">
        <v>355</v>
      </c>
      <c r="H18" t="str">
        <f>IF($B$1&gt;=1.2,"Calm",IF($B$1&gt;=1.1,"Steady",IF($B$1&gt;=1.05,"Wobbly","Frayed")))</f>
        <v>Frayed</v>
      </c>
    </row>
    <row r="19" spans="7:8" x14ac:dyDescent="0.2">
      <c r="G19" s="2" t="s">
        <v>315</v>
      </c>
      <c r="H19" cm="1">
        <f t="array" ref="H19">_xlfn.XLOOKUP($G$1,Harmony_Mults!$B:$B,Harmony_Mults!$C:$C,"" )</f>
        <v>0</v>
      </c>
    </row>
  </sheetData>
  <conditionalFormatting sqref="H4:H1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Harmony_Mults!$A$2:$A$5</xm:f>
          </x14:formula1>
          <xm:sqref>C1</xm:sqref>
        </x14:dataValidation>
        <x14:dataValidation type="list" allowBlank="1" showInputMessage="1" showErrorMessage="1" xr:uid="{00000000-0002-0000-0900-000001000000}">
          <x14:formula1>
            <xm:f>Events_Index!$A$2:$A$2000</xm:f>
          </x14:formula1>
          <xm:sqref>A4:A15</xm:sqref>
        </x14:dataValidation>
        <x14:dataValidation type="list" allowBlank="1" showInputMessage="1" showErrorMessage="1" xr:uid="{00000000-0002-0000-0900-000002000000}">
          <x14:formula1>
            <xm:f>Temperament_Tuning!$B$2:$B$200</xm:f>
          </x14:formula1>
          <xm:sqref>G4:G15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Increase_Events</vt:lpstr>
      <vt:lpstr>Decrease_Events</vt:lpstr>
      <vt:lpstr>Modifiers</vt:lpstr>
      <vt:lpstr>Special_Systems</vt:lpstr>
      <vt:lpstr>Temperament_Tuning</vt:lpstr>
      <vt:lpstr>Harmony_Mults</vt:lpstr>
      <vt:lpstr>Events_Index</vt:lpstr>
      <vt:lpstr>Tag_Map</vt:lpstr>
      <vt:lpstr>Tag_Weights</vt:lpstr>
      <vt:lpstr>Net_Day_Simulator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Thompson</cp:lastModifiedBy>
  <dcterms:created xsi:type="dcterms:W3CDTF">2025-11-01T04:02:27Z</dcterms:created>
  <dcterms:modified xsi:type="dcterms:W3CDTF">2025-11-01T04:06:19Z</dcterms:modified>
</cp:coreProperties>
</file>