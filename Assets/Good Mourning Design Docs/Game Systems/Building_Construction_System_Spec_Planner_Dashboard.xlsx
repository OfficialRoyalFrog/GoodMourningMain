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ore_Loop" sheetId="2" r:id="rId2"/>
    <sheet name="Structures_Catalog" sheetId="3" r:id="rId3"/>
    <sheet name="Tiers_Upgrades" sheetId="4" r:id="rId4"/>
    <sheet name="HP_Repair" sheetId="5" r:id="rId5"/>
    <sheet name="Placement_Pathing" sheetId="6" r:id="rId6"/>
    <sheet name="Station_Throughput" sheetId="7" r:id="rId7"/>
    <sheet name="Visual_Progress" sheetId="8" r:id="rId8"/>
    <sheet name="Hooks" sheetId="9" r:id="rId9"/>
    <sheet name="Tuning_Defaults" sheetId="10" r:id="rId10"/>
    <sheet name="External_Links" sheetId="11" r:id="rId11"/>
    <sheet name="Computed_Metrics" sheetId="12" r:id="rId12"/>
    <sheet name="Build_Planner" sheetId="13" r:id="rId13"/>
    <sheet name="Repair_Budget" sheetId="14" r:id="rId14"/>
    <sheet name="Station_Dashboard" sheetId="15" r:id="rId1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<sst xmlns="http://schemas.openxmlformats.org/spreadsheetml/2006/main" count="567" uniqueCount="347">
  <si>
    <t>Field</t>
  </si>
  <si>
    <t>Description</t>
  </si>
  <si>
    <t>System Name</t>
  </si>
  <si>
    <t>Tagline</t>
  </si>
  <si>
    <t>Purpose</t>
  </si>
  <si>
    <t>One‑line Summary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</si>
  <si>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</si>
  <si>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</si>
  <si>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</si>
  <si>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</si>
  <si>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</si>
  <si>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</si>
  <si>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</si>
  <si>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Building &amp; Construction System</t>
  </si>
  <si>
    <t>Build comfort, craft progress — your sanctuary in wood, stone, and candlelight.</t>
  </si>
  <si>
    <t>Define structures, tiers, HP/repair loops, upgrade costs, and visual progress that anchor every other system.</t>
  </si>
  <si>
    <t>Place and upgrade stations that produce resources, stabilize mood, and unlock systems; keep them repaired as ghosts (and time) wear them down.</t>
  </si>
  <si>
    <t>Plan → Place → Build → Use (Throughput/Comfort) → Wear/Repair → Upgrade (Tier) → Expand</t>
  </si>
  <si>
    <t>Tasks (Stations), Garden, Potions/Relics, Rituals, Manifest/Contagion, Lighting, Save/Load, Requests</t>
  </si>
  <si>
    <t>Grid-free terrain deformation, physics-based destruction, multistory/vertical construction.</t>
  </si>
  <si>
    <t>• Costs &amp; build times feel fair • HP/repair loops are readable • Upgrades are meaningful • Visual progress is satisfying</t>
  </si>
  <si>
    <t>Brandon (Caretaker Designer)</t>
  </si>
  <si>
    <t>1.0</t>
  </si>
  <si>
    <t>2025-11-01 03:19 UTC</t>
  </si>
  <si>
    <t>Phase</t>
  </si>
  <si>
    <t>Name</t>
  </si>
  <si>
    <t>What Happens</t>
  </si>
  <si>
    <t>Rules</t>
  </si>
  <si>
    <t>UX Cues</t>
  </si>
  <si>
    <t>Plan</t>
  </si>
  <si>
    <t>Place</t>
  </si>
  <si>
    <t>Build</t>
  </si>
  <si>
    <t>Use</t>
  </si>
  <si>
    <t>Wear/Repair</t>
  </si>
  <si>
    <t>Upgrade</t>
  </si>
  <si>
    <t>Expand</t>
  </si>
  <si>
    <t>Pick structure from build menu; preview placement and cost.</t>
  </si>
  <si>
    <t>Confirm location; pay resource cost; spawn scaffold.</t>
  </si>
  <si>
    <t>Assigned Builder ghosts construct over time.</t>
  </si>
  <si>
    <t>Stations run; comfort/lighting applies; storage grows.</t>
  </si>
  <si>
    <t>HP decays (small) and suffers Unrest damage.</t>
  </si>
  <si>
    <t>Tier up to improve throughput/comfort.</t>
  </si>
  <si>
    <t>Unlock new zones; place more structures.</t>
  </si>
  <si>
    <t>Ghost pathing and light coverage matter.</t>
  </si>
  <si>
    <t>Respect navmesh, clearance, and forbidden zones.</t>
  </si>
  <si>
    <t>Throughput scales with Bond/Temperament; multiple workers help.</t>
  </si>
  <si>
    <t>Production has queues; some need assigned roles.</t>
  </si>
  <si>
    <t>Repairs cost Timber/Rock; Janitor fixes minor damage.</t>
  </si>
  <si>
    <t>Higher costs; sometimes Tokens/Medallions needed.</t>
  </si>
  <si>
    <t>Soft caps via Harmony/Mementos/Grace.</t>
  </si>
  <si>
    <t>Ghost routes, lantern rings, and cost tooltip.</t>
  </si>
  <si>
    <t>Snap grid + invalid highlights.</t>
  </si>
  <si>
    <t>Progress bar; hammer VFX; SFX loop.</t>
  </si>
  <si>
    <t>Station UI with queues and tooltips.</t>
  </si>
  <si>
    <t>Cracks decals; repair prompt.</t>
  </si>
  <si>
    <t>VFX burst; mesh variant; banner text.</t>
  </si>
  <si>
    <t>Map gates and progress milestones.</t>
  </si>
  <si>
    <t>StructureID</t>
  </si>
  <si>
    <t>Display Name</t>
  </si>
  <si>
    <t>Role</t>
  </si>
  <si>
    <t>Category</t>
  </si>
  <si>
    <t>Footprint</t>
  </si>
  <si>
    <t>ALTAR</t>
  </si>
  <si>
    <t>SAWMILL</t>
  </si>
  <si>
    <t>QUARRY</t>
  </si>
  <si>
    <t>WORKSHOP</t>
  </si>
  <si>
    <t>RELIC_FORGE</t>
  </si>
  <si>
    <t>ALCHEMY</t>
  </si>
  <si>
    <t>GARDEN_BED</t>
  </si>
  <si>
    <t>COMPOSTER</t>
  </si>
  <si>
    <t>LANTERN</t>
  </si>
  <si>
    <t>GREENHOUSE</t>
  </si>
  <si>
    <t>WARDED</t>
  </si>
  <si>
    <t>STORAGE</t>
  </si>
  <si>
    <t>Ritual Altar</t>
  </si>
  <si>
    <t>Sawmill</t>
  </si>
  <si>
    <t>Quarry</t>
  </si>
  <si>
    <t>Workshop</t>
  </si>
  <si>
    <t>Relic Forge</t>
  </si>
  <si>
    <t>Alchemy Table</t>
  </si>
  <si>
    <t>Garden Bed</t>
  </si>
  <si>
    <t>Composter</t>
  </si>
  <si>
    <t>Lantern</t>
  </si>
  <si>
    <t>Greenhouse</t>
  </si>
  <si>
    <t>Warded Chamber</t>
  </si>
  <si>
    <t>Storage</t>
  </si>
  <si>
    <t>Perform rituals; center of Grace production.</t>
  </si>
  <si>
    <t>Produce Timber from time &amp; worker.</t>
  </si>
  <si>
    <t>Produce Rock over time.</t>
  </si>
  <si>
    <t>Refine Timber→Boards, Rock→Bricks.</t>
  </si>
  <si>
    <t>Craft Charms from fragments.</t>
  </si>
  <si>
    <t>Brew Potions from Essence/Herbs.</t>
  </si>
  <si>
    <t>Plant flowers tied to spirits.</t>
  </si>
  <si>
    <t>Convert Ectoplasm → Fertilizer charges.</t>
  </si>
  <si>
    <t>Calm aura; dampen contagion; night boost.</t>
  </si>
  <si>
    <t>Garden growth boost + rot resistance.</t>
  </si>
  <si>
    <t>Cure Afflictions over time.</t>
  </si>
  <si>
    <t>Increases resource caps.</t>
  </si>
  <si>
    <t>Comfort/Meta</t>
  </si>
  <si>
    <t>Station/Throughput</t>
  </si>
  <si>
    <t>Station/Refine</t>
  </si>
  <si>
    <t>Station/Crafting</t>
  </si>
  <si>
    <t>Comfort/Production</t>
  </si>
  <si>
    <t>Station/Utility</t>
  </si>
  <si>
    <t>Comfort/Light</t>
  </si>
  <si>
    <t>Station/Healing</t>
  </si>
  <si>
    <t>Utility/Storage</t>
  </si>
  <si>
    <t>3x3</t>
  </si>
  <si>
    <t>3x2</t>
  </si>
  <si>
    <t>2x2</t>
  </si>
  <si>
    <t>1x1</t>
  </si>
  <si>
    <t>Tier</t>
  </si>
  <si>
    <t>Cost (raw)</t>
  </si>
  <si>
    <t>Benefits</t>
  </si>
  <si>
    <t>Visual Notes</t>
  </si>
  <si>
    <t>Essence:0, Remains:0, Tokens:0</t>
  </si>
  <si>
    <t>Essence:30, Remains:8, Tokens:10</t>
  </si>
  <si>
    <t>Essence:60, Remains:16, Tokens:20, Medallion:1</t>
  </si>
  <si>
    <t>Timber:10, Rock:6</t>
  </si>
  <si>
    <t>Timber:20, Rock:12, Tokens:5</t>
  </si>
  <si>
    <t>Timber:30, Rock:18, Tokens:10</t>
  </si>
  <si>
    <t>Timber:8, Rock:8</t>
  </si>
  <si>
    <t>Timber:16, Rock:14, Tokens:5</t>
  </si>
  <si>
    <t>Timber:24, Rock:20, Tokens:10</t>
  </si>
  <si>
    <t>Base ritual set</t>
  </si>
  <si>
    <t>+1 ritual slot; +10% Grace</t>
  </si>
  <si>
    <t>+1 ritual slot; mishap ↓</t>
  </si>
  <si>
    <t>Produce Timber</t>
  </si>
  <si>
    <t>Throughput +25%</t>
  </si>
  <si>
    <t>Produce Rock</t>
  </si>
  <si>
    <t>Default</t>
  </si>
  <si>
    <t>Mesh/trim swap</t>
  </si>
  <si>
    <t>Lanterns on frame</t>
  </si>
  <si>
    <t>Basic</t>
  </si>
  <si>
    <t>Bigger wheel</t>
  </si>
  <si>
    <t>Covered roof</t>
  </si>
  <si>
    <t>Scaffold</t>
  </si>
  <si>
    <t>Crane</t>
  </si>
  <si>
    <t>HP_Max</t>
  </si>
  <si>
    <t>Wear_perDay</t>
  </si>
  <si>
    <t>Notes</t>
  </si>
  <si>
    <t>Repair_Cost</t>
  </si>
  <si>
    <t>Per day wear</t>
  </si>
  <si>
    <t>Wear + Unrest hits</t>
  </si>
  <si>
    <t>Wear</t>
  </si>
  <si>
    <t>Trample risk</t>
  </si>
  <si>
    <t>Bulb replace</t>
  </si>
  <si>
    <t>Rot protection</t>
  </si>
  <si>
    <t>Healing use</t>
  </si>
  <si>
    <t>Essence:0, Timber:2</t>
  </si>
  <si>
    <t>Timber:2, Rock:1</t>
  </si>
  <si>
    <t>Timber:1, Rock:2</t>
  </si>
  <si>
    <t>Timber:2, Rock:2</t>
  </si>
  <si>
    <t>Timber:1, Rock:1</t>
  </si>
  <si>
    <t>Timber:1</t>
  </si>
  <si>
    <t>Tokens:1</t>
  </si>
  <si>
    <t>Rule</t>
  </si>
  <si>
    <t>Default/Value</t>
  </si>
  <si>
    <t>GridSize</t>
  </si>
  <si>
    <t>Clearance</t>
  </si>
  <si>
    <t>Navmesh</t>
  </si>
  <si>
    <t>Forbidden Zones</t>
  </si>
  <si>
    <t>Light Coverage</t>
  </si>
  <si>
    <t>Proximity Buffs</t>
  </si>
  <si>
    <t>1m per cell</t>
  </si>
  <si>
    <t>0.5m border</t>
  </si>
  <si>
    <t>Walkable required</t>
  </si>
  <si>
    <t>Gate/Extraction/Edge</t>
  </si>
  <si>
    <t>LANTERN radii</t>
  </si>
  <si>
    <t>Storyteller near beds</t>
  </si>
  <si>
    <t>All footprints align to grid (1x1,2x2,3x3).</t>
  </si>
  <si>
    <t>No overlap; leave aisles for ghosts.</t>
  </si>
  <si>
    <t>No blocking main routes to Altar/Garden.</t>
  </si>
  <si>
    <t>No placement near gates or map edges.</t>
  </si>
  <si>
    <t>Show rings to cover sleep zones and workstations.</t>
  </si>
  <si>
    <t>Some combos (Storyteller+Garden) add small bonuses.</t>
  </si>
  <si>
    <t>Metric</t>
  </si>
  <si>
    <t>Base</t>
  </si>
  <si>
    <t>Tier Bonus</t>
  </si>
  <si>
    <t>WORKSHOP_BOARDS</t>
  </si>
  <si>
    <t>WORKSHOP_BRICKS</t>
  </si>
  <si>
    <t>Timber/hr</t>
  </si>
  <si>
    <t>Rock/hr</t>
  </si>
  <si>
    <t>Boards/hr</t>
  </si>
  <si>
    <t>Bricks/hr</t>
  </si>
  <si>
    <t>Charms/hr</t>
  </si>
  <si>
    <t>Potions/hr</t>
  </si>
  <si>
    <t>Fertilizer/hr</t>
  </si>
  <si>
    <t>Cap increase</t>
  </si>
  <si>
    <t>Calm radius m</t>
  </si>
  <si>
    <t>Afflictions/day</t>
  </si>
  <si>
    <t>Growth bonus</t>
  </si>
  <si>
    <t>+25% per tier</t>
  </si>
  <si>
    <t>+20% per tier</t>
  </si>
  <si>
    <t>+10% per tier</t>
  </si>
  <si>
    <t>+25 per tier</t>
  </si>
  <si>
    <t>+1m per tier</t>
  </si>
  <si>
    <t>+0.10 per tier</t>
  </si>
  <si>
    <t>RoleFit × Bond × Harmony</t>
  </si>
  <si>
    <t>Consumes Timber</t>
  </si>
  <si>
    <t>Consumes Rock</t>
  </si>
  <si>
    <t>Consumes Fragments/Essence/Remains</t>
  </si>
  <si>
    <t>Consumes Essence/Herbs/Ectoplasm</t>
  </si>
  <si>
    <t>Consumes Ectoplasm</t>
  </si>
  <si>
    <t>All resource caps</t>
  </si>
  <si>
    <t>Dampens contagion; night boost</t>
  </si>
  <si>
    <t>Slots × Tier</t>
  </si>
  <si>
    <t>Garden growth × (1+bonus)</t>
  </si>
  <si>
    <t>Tier Visuals</t>
  </si>
  <si>
    <t>T1 plain stones → T2 engraved trim → T3 shrine with lanterns.</t>
  </si>
  <si>
    <t>T1 wheel → T2 protected gear → T3 roof + banners.</t>
  </si>
  <si>
    <t>T1 simple pit → T2 scaffold → T3 crane &amp; pulley.</t>
  </si>
  <si>
    <t>T1 bench → T2 table + tools → T3 full bench &amp; rack.</t>
  </si>
  <si>
    <t>T1 stand → T2 mirror shard → T3 bone adornments.</t>
  </si>
  <si>
    <t>T1 table → T2 tubes → T3 flask rack &amp; heater.</t>
  </si>
  <si>
    <t>T1 stones → T2 fence → T3 lantern stake.</t>
  </si>
  <si>
    <t>T1 bin → T2 lid + vent → T3 crank &amp; meter.</t>
  </si>
  <si>
    <t>T1 post → T2 double flame → T3 halo crown.</t>
  </si>
  <si>
    <t>T1 frame → T2 panes → T3 warm glow.</t>
  </si>
  <si>
    <t>T1 cot → T2 runes → T3 sealed door.</t>
  </si>
  <si>
    <t>T1 chest → T2 rack → T3 warehouse.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</si>
  <si>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</si>
  <si>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</si>
  <si>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</si>
  <si>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</si>
  <si>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</si>
  <si>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</si>
  <si>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</si>
  <si>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</si>
  <si>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</si>
  <si>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HK_BuildMenu</t>
  </si>
  <si>
    <t>HK_Placer</t>
  </si>
  <si>
    <t>HK_BuildQueue</t>
  </si>
  <si>
    <t>HK_Station</t>
  </si>
  <si>
    <t>HK_Repair</t>
  </si>
  <si>
    <t>HK_Upgrade</t>
  </si>
  <si>
    <t>Build menu orchestration</t>
  </si>
  <si>
    <t>Placement + preview</t>
  </si>
  <si>
    <t>Construction queue</t>
  </si>
  <si>
    <t>Station controller</t>
  </si>
  <si>
    <t>Repair interaction</t>
  </si>
  <si>
    <t>Upgrade flow</t>
  </si>
  <si>
    <t>KD.Build.Menu</t>
  </si>
  <si>
    <t>KD.Build.Placer</t>
  </si>
  <si>
    <t>KD.Build.Queue</t>
  </si>
  <si>
    <t>KD.Stations.Controller</t>
  </si>
  <si>
    <t>KD.Build.Repair</t>
  </si>
  <si>
    <t>KD.Build.Upgrade</t>
  </si>
  <si>
    <t>catalog[], costs{}, grid, ghostPaths</t>
  </si>
  <si>
    <t>footprint, clearance, validMask</t>
  </si>
  <si>
    <t>jobs[], workers[], speedMult</t>
  </si>
  <si>
    <t>tier, hp, wear, throughput</t>
  </si>
  <si>
    <t>costs{}, time</t>
  </si>
  <si>
    <t>nextTier, cost{}, visuals</t>
  </si>
  <si>
    <t>OnOpen, OnSelect, OnConfirm</t>
  </si>
  <si>
    <t>OnMove, OnRotate, OnConfirm</t>
  </si>
  <si>
    <t>OnJobAdded, OnJobProgress, OnJobDone</t>
  </si>
  <si>
    <t>OnTick, OnUse, OnDamage</t>
  </si>
  <si>
    <t>OnRepairStart, OnRepairDone</t>
  </si>
  <si>
    <t>OnUpgradeConfirm, OnUpgradeComplete</t>
  </si>
  <si>
    <t>Player input</t>
  </si>
  <si>
    <t>Player move</t>
  </si>
  <si>
    <t>Player/Stations</t>
  </si>
  <si>
    <t>Time/Events</t>
  </si>
  <si>
    <t>Player/Janitor</t>
  </si>
  <si>
    <t>Player/Grace unlock</t>
  </si>
  <si>
    <t>Emit: BuildRequested</t>
  </si>
  <si>
    <t>Emit: PlaceStructure</t>
  </si>
  <si>
    <t>Emit: Progress, Done</t>
  </si>
  <si>
    <t>Emit: Output, Damaged</t>
  </si>
  <si>
    <t>Emit: Repaired</t>
  </si>
  <si>
    <t>Emit: Upgraded</t>
  </si>
  <si>
    <t>UI_BuildMenu</t>
  </si>
  <si>
    <t>Ghost path hinting; snap grid.</t>
  </si>
  <si>
    <t>Supports multi-worker speed.</t>
  </si>
  <si>
    <t>Base class for all stations.</t>
  </si>
  <si>
    <t>Consumes resources; heals HP.</t>
  </si>
  <si>
    <t>Swaps meshes/materials.</t>
  </si>
  <si>
    <t>Filters by unlocks; shows rings/costs.</t>
  </si>
  <si>
    <t>Parameter</t>
  </si>
  <si>
    <t>Min</t>
  </si>
  <si>
    <t>Max</t>
  </si>
  <si>
    <t>build_time_base_sec</t>
  </si>
  <si>
    <t>multiworker_bonus</t>
  </si>
  <si>
    <t>hp_decay_per_day</t>
  </si>
  <si>
    <t>unrest_damage_hit</t>
  </si>
  <si>
    <t>repair_speed_mult</t>
  </si>
  <si>
    <t>path_clearance_m</t>
  </si>
  <si>
    <t>lantern_radius_t1</t>
  </si>
  <si>
    <t>lantern_radius_per_tier</t>
  </si>
  <si>
    <t>station_queue_limit</t>
  </si>
  <si>
    <t>upgrade_token_cost_scale</t>
  </si>
  <si>
    <t>Base time for 3x3 (scaled by footprint).</t>
  </si>
  <si>
    <t>Per worker after the first (additive).</t>
  </si>
  <si>
    <t>Passive HP wear fraction/day.</t>
  </si>
  <si>
    <t>HP fraction lost on Unrest vandalism.</t>
  </si>
  <si>
    <t>Multiplier for repair pace.</t>
  </si>
  <si>
    <t>Path clearance margin.</t>
  </si>
  <si>
    <t>Lantern calm zone at T1.</t>
  </si>
  <si>
    <t>Meters added per tier.</t>
  </si>
  <si>
    <t>Max jobs queued per station at T1.</t>
  </si>
  <si>
    <t>Scale factor applied to tokens at higher tiers.</t>
  </si>
  <si>
    <t>LinkKey</t>
  </si>
  <si>
    <t>Excel_Formula</t>
  </si>
  <si>
    <t>Token_Token_Value</t>
  </si>
  <si>
    <t>Timber_Token_Value</t>
  </si>
  <si>
    <t>Rock_Token_Value</t>
  </si>
  <si>
    <t>Boards_Token_Value (proxy)</t>
  </si>
  <si>
    <t>Bricks_Token_Value (proxy)</t>
  </si>
  <si>
    <t>Token face value</t>
  </si>
  <si>
    <t>Token per Timber</t>
  </si>
  <si>
    <t>Token per Rock</t>
  </si>
  <si>
    <t>Proxy from Resources sheet base value</t>
  </si>
  <si>
    <t>Formula (Excel)</t>
  </si>
  <si>
    <t>Var1</t>
  </si>
  <si>
    <t>Var2</t>
  </si>
  <si>
    <t>Var3</t>
  </si>
  <si>
    <t>Var4</t>
  </si>
  <si>
    <t>Var5</t>
  </si>
  <si>
    <t>Var6</t>
  </si>
  <si>
    <t>Build Time (sec)</t>
  </si>
  <si>
    <t>Repair Cost (Tokens)</t>
  </si>
  <si>
    <t>Station Throughput (per hr)</t>
  </si>
  <si>
    <t>Lantern Radius (m)</t>
  </si>
  <si>
    <t>FootprintScale</t>
  </si>
  <si>
    <t>TimberCost</t>
  </si>
  <si>
    <t>Workers</t>
  </si>
  <si>
    <t>RockCost</t>
  </si>
  <si>
    <t>TierBonus</t>
  </si>
  <si>
    <t>TokenCost</t>
  </si>
  <si>
    <t>RoleFit</t>
  </si>
  <si>
    <t>Bond</t>
  </si>
  <si>
    <t>Harmony</t>
  </si>
  <si>
    <t>Count</t>
  </si>
  <si>
    <t>Medallions</t>
  </si>
  <si>
    <t>WorkersPerJob</t>
  </si>
  <si>
    <t>BuildTime_Sec</t>
  </si>
  <si>
    <t>Total_Tokens</t>
  </si>
  <si>
    <t>UnrestHits_perDay</t>
  </si>
  <si>
    <t>TimberCostRepair</t>
  </si>
  <si>
    <t>RockCostRepair</t>
  </si>
  <si>
    <t>TokenCostRepair</t>
  </si>
  <si>
    <t>HP_Loss_perDay</t>
  </si>
  <si>
    <t>Repair_Tokens_perDay</t>
  </si>
  <si>
    <t>Station</t>
  </si>
  <si>
    <t>Throughput_per_hr</t>
  </si>
  <si>
    <t>Tokens_per_hr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</si>
</sst>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Station Tokens per Hour (Tier, Fit, Bond, Harmony adjusted)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Tokens/hour</c:v>
          </c:tx>
          <c:cat>
            <c:strRef>
              <c:f>'Station_Dashboard'!$A$2:$A$7</c:f>
              <c:strCache>
                <c:ptCount val="6"/>
                <c:pt idx="0">
                  <c:v>SAWMILL</c:v>
                </c:pt>
                <c:pt idx="1">
                  <c:v>QUARRY</c:v>
                </c:pt>
                <c:pt idx="2">
                  <c:v>WORKSHOP_BOARDS</c:v>
                </c:pt>
                <c:pt idx="3">
                  <c:v>WORKSHOP_BRICKS</c:v>
                </c:pt>
                <c:pt idx="4">
                  <c:v>COMPOSTER</c:v>
                </c:pt>
                <c:pt idx="5">
                  <c:v>LANTERN</c:v>
                </c:pt>
              </c:strCache>
            </c:strRef>
          </c:cat>
          <c:val>
            <c:numRef>
              <c:f>'Station_Dashboard'!$I$2:$I$7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304800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8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61.7109375" customWidth="1"/>
    <col min="4" max="4" width="65.7109375" customWidth="1"/>
    <col min="5" max="5" width="48.7109375" customWidth="1"/>
  </cols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>
        <v>1</v>
      </c>
      <c r="B2" t="s">
        <v>29</v>
      </c>
      <c r="C2" t="s">
        <v>36</v>
      </c>
      <c r="D2" t="s">
        <v>43</v>
      </c>
      <c r="E2" t="s">
        <v>50</v>
      </c>
    </row>
    <row r="3" spans="1:5">
      <c r="A3">
        <v>2</v>
      </c>
      <c r="B3" t="s">
        <v>30</v>
      </c>
      <c r="C3" t="s">
        <v>37</v>
      </c>
      <c r="D3" t="s">
        <v>44</v>
      </c>
      <c r="E3" t="s">
        <v>51</v>
      </c>
    </row>
    <row r="4" spans="1:5">
      <c r="A4">
        <v>3</v>
      </c>
      <c r="B4" t="s">
        <v>31</v>
      </c>
      <c r="C4" t="s">
        <v>38</v>
      </c>
      <c r="D4" t="s">
        <v>45</v>
      </c>
      <c r="E4" t="s">
        <v>52</v>
      </c>
    </row>
    <row r="5" spans="1:5">
      <c r="A5">
        <v>4</v>
      </c>
      <c r="B5" t="s">
        <v>32</v>
      </c>
      <c r="C5" t="s">
        <v>39</v>
      </c>
      <c r="D5" t="s">
        <v>46</v>
      </c>
      <c r="E5" t="s">
        <v>53</v>
      </c>
    </row>
    <row r="6" spans="1:5">
      <c r="A6">
        <v>5</v>
      </c>
      <c r="B6" t="s">
        <v>33</v>
      </c>
      <c r="C6" t="s">
        <v>40</v>
      </c>
      <c r="D6" t="s">
        <v>47</v>
      </c>
      <c r="E6" t="s">
        <v>54</v>
      </c>
    </row>
    <row r="7" spans="1:5">
      <c r="A7">
        <v>6</v>
      </c>
      <c r="B7" t="s">
        <v>34</v>
      </c>
      <c r="C7" t="s">
        <v>41</v>
      </c>
      <c r="D7" t="s">
        <v>48</v>
      </c>
      <c r="E7" t="s">
        <v>55</v>
      </c>
    </row>
    <row r="8" spans="1:5">
      <c r="A8">
        <v>7</v>
      </c>
      <c r="B8" t="s">
        <v>35</v>
      </c>
      <c r="C8" t="s">
        <v>42</v>
      </c>
      <c r="D8" t="s">
        <v>49</v>
      </c>
      <c r="E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46.7109375" customWidth="1"/>
    <col min="4" max="4" width="20.7109375" customWidth="1"/>
    <col min="5" max="5" width="18.7109375" customWidth="1"/>
  </cols>
  <sheetData>
    <row r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</row>
    <row r="2" spans="1:5">
      <c r="A2" t="s">
        <v>62</v>
      </c>
      <c r="B2" t="s">
        <v>74</v>
      </c>
      <c r="C2" t="s">
        <v>86</v>
      </c>
      <c r="D2" t="s">
        <v>98</v>
      </c>
      <c r="E2" t="s">
        <v>107</v>
      </c>
    </row>
    <row r="3" spans="1:5">
      <c r="A3" t="s">
        <v>63</v>
      </c>
      <c r="B3" t="s">
        <v>75</v>
      </c>
      <c r="C3" t="s">
        <v>87</v>
      </c>
      <c r="D3" t="s">
        <v>99</v>
      </c>
      <c r="E3" t="s">
        <v>107</v>
      </c>
    </row>
    <row r="4" spans="1:5">
      <c r="A4" t="s">
        <v>64</v>
      </c>
      <c r="B4" t="s">
        <v>76</v>
      </c>
      <c r="C4" t="s">
        <v>88</v>
      </c>
      <c r="D4" t="s">
        <v>99</v>
      </c>
      <c r="E4" t="s">
        <v>107</v>
      </c>
    </row>
    <row r="5" spans="1:5">
      <c r="A5" t="s">
        <v>65</v>
      </c>
      <c r="B5" t="s">
        <v>77</v>
      </c>
      <c r="C5" t="s">
        <v>89</v>
      </c>
      <c r="D5" t="s">
        <v>100</v>
      </c>
      <c r="E5" t="s">
        <v>107</v>
      </c>
    </row>
    <row r="6" spans="1:5">
      <c r="A6" t="s">
        <v>66</v>
      </c>
      <c r="B6" t="s">
        <v>78</v>
      </c>
      <c r="C6" t="s">
        <v>90</v>
      </c>
      <c r="D6" t="s">
        <v>101</v>
      </c>
      <c r="E6" t="s">
        <v>107</v>
      </c>
    </row>
    <row r="7" spans="1:5">
      <c r="A7" t="s">
        <v>67</v>
      </c>
      <c r="B7" t="s">
        <v>79</v>
      </c>
      <c r="C7" t="s">
        <v>91</v>
      </c>
      <c r="D7" t="s">
        <v>101</v>
      </c>
      <c r="E7" t="s">
        <v>108</v>
      </c>
    </row>
    <row r="8" spans="1:5">
      <c r="A8" t="s">
        <v>68</v>
      </c>
      <c r="B8" t="s">
        <v>80</v>
      </c>
      <c r="C8" t="s">
        <v>92</v>
      </c>
      <c r="D8" t="s">
        <v>102</v>
      </c>
      <c r="E8" t="s">
        <v>109</v>
      </c>
    </row>
    <row r="9" spans="1:5">
      <c r="A9" t="s">
        <v>69</v>
      </c>
      <c r="B9" t="s">
        <v>81</v>
      </c>
      <c r="C9" t="s">
        <v>93</v>
      </c>
      <c r="D9" t="s">
        <v>103</v>
      </c>
      <c r="E9" t="s">
        <v>109</v>
      </c>
    </row>
    <row r="10" spans="1:5">
      <c r="A10" t="s">
        <v>70</v>
      </c>
      <c r="B10" t="s">
        <v>82</v>
      </c>
      <c r="C10" t="s">
        <v>94</v>
      </c>
      <c r="D10" t="s">
        <v>104</v>
      </c>
      <c r="E10" t="s">
        <v>110</v>
      </c>
    </row>
    <row r="11" spans="1:5">
      <c r="A11" t="s">
        <v>71</v>
      </c>
      <c r="B11" t="s">
        <v>83</v>
      </c>
      <c r="C11" t="s">
        <v>95</v>
      </c>
      <c r="D11" t="s">
        <v>103</v>
      </c>
      <c r="E11" t="s">
        <v>108</v>
      </c>
    </row>
    <row r="12" spans="1:5">
      <c r="A12" t="s">
        <v>72</v>
      </c>
      <c r="B12" t="s">
        <v>84</v>
      </c>
      <c r="C12" t="s">
        <v>96</v>
      </c>
      <c r="D12" t="s">
        <v>105</v>
      </c>
      <c r="E12" t="s">
        <v>108</v>
      </c>
    </row>
    <row r="13" spans="1:5">
      <c r="A13" t="s">
        <v>73</v>
      </c>
      <c r="B13" t="s">
        <v>85</v>
      </c>
      <c r="C13" t="s">
        <v>97</v>
      </c>
      <c r="D13" t="s">
        <v>106</v>
      </c>
      <c r="E13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48.7109375" customWidth="1"/>
    <col min="4" max="4" width="28.7109375" customWidth="1"/>
    <col min="5" max="5" width="19.7109375" customWidth="1"/>
  </cols>
  <sheetData>
    <row r="1" spans="1:5">
      <c r="A1" s="1" t="s">
        <v>57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>
      <c r="A2" t="s">
        <v>62</v>
      </c>
      <c r="B2">
        <v>1</v>
      </c>
      <c r="C2" t="s">
        <v>115</v>
      </c>
      <c r="D2" t="s">
        <v>124</v>
      </c>
      <c r="E2" t="s">
        <v>130</v>
      </c>
    </row>
    <row r="3" spans="1:5">
      <c r="A3" t="s">
        <v>62</v>
      </c>
      <c r="B3">
        <v>2</v>
      </c>
      <c r="C3" t="s">
        <v>116</v>
      </c>
      <c r="D3" t="s">
        <v>125</v>
      </c>
      <c r="E3" t="s">
        <v>131</v>
      </c>
    </row>
    <row r="4" spans="1:5">
      <c r="A4" t="s">
        <v>62</v>
      </c>
      <c r="B4">
        <v>3</v>
      </c>
      <c r="C4" t="s">
        <v>117</v>
      </c>
      <c r="D4" t="s">
        <v>126</v>
      </c>
      <c r="E4" t="s">
        <v>132</v>
      </c>
    </row>
    <row r="5" spans="1:5">
      <c r="A5" t="s">
        <v>63</v>
      </c>
      <c r="B5">
        <v>1</v>
      </c>
      <c r="C5" t="s">
        <v>118</v>
      </c>
      <c r="D5" t="s">
        <v>127</v>
      </c>
      <c r="E5" t="s">
        <v>133</v>
      </c>
    </row>
    <row r="6" spans="1:5">
      <c r="A6" t="s">
        <v>63</v>
      </c>
      <c r="B6">
        <v>2</v>
      </c>
      <c r="C6" t="s">
        <v>119</v>
      </c>
      <c r="D6" t="s">
        <v>128</v>
      </c>
      <c r="E6" t="s">
        <v>134</v>
      </c>
    </row>
    <row r="7" spans="1:5">
      <c r="A7" t="s">
        <v>63</v>
      </c>
      <c r="B7">
        <v>3</v>
      </c>
      <c r="C7" t="s">
        <v>120</v>
      </c>
      <c r="D7" t="s">
        <v>128</v>
      </c>
      <c r="E7" t="s">
        <v>135</v>
      </c>
    </row>
    <row r="8" spans="1:5">
      <c r="A8" t="s">
        <v>64</v>
      </c>
      <c r="B8">
        <v>1</v>
      </c>
      <c r="C8" t="s">
        <v>121</v>
      </c>
      <c r="D8" t="s">
        <v>129</v>
      </c>
      <c r="E8" t="s">
        <v>133</v>
      </c>
    </row>
    <row r="9" spans="1:5">
      <c r="A9" t="s">
        <v>64</v>
      </c>
      <c r="B9">
        <v>2</v>
      </c>
      <c r="C9" t="s">
        <v>122</v>
      </c>
      <c r="D9" t="s">
        <v>128</v>
      </c>
      <c r="E9" t="s">
        <v>136</v>
      </c>
    </row>
    <row r="10" spans="1:5">
      <c r="A10" t="s">
        <v>64</v>
      </c>
      <c r="B10">
        <v>3</v>
      </c>
      <c r="C10" t="s">
        <v>123</v>
      </c>
      <c r="D10" t="s">
        <v>128</v>
      </c>
      <c r="E10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20.7109375" customWidth="1"/>
    <col min="5" max="5" width="21.7109375" customWidth="1"/>
  </cols>
  <sheetData>
    <row r="1" spans="1:5">
      <c r="A1" s="1" t="s">
        <v>57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>
      <c r="A2" t="s">
        <v>62</v>
      </c>
      <c r="B2">
        <v>100</v>
      </c>
      <c r="C2">
        <v>0.1</v>
      </c>
      <c r="D2" t="s">
        <v>142</v>
      </c>
      <c r="E2" t="s">
        <v>149</v>
      </c>
    </row>
    <row r="3" spans="1:5">
      <c r="A3" t="s">
        <v>63</v>
      </c>
      <c r="B3">
        <v>120</v>
      </c>
      <c r="C3">
        <v>0.2</v>
      </c>
      <c r="D3" t="s">
        <v>143</v>
      </c>
      <c r="E3" t="s">
        <v>150</v>
      </c>
    </row>
    <row r="4" spans="1:5">
      <c r="A4" t="s">
        <v>64</v>
      </c>
      <c r="B4">
        <v>130</v>
      </c>
      <c r="C4">
        <v>0.2</v>
      </c>
      <c r="D4" t="s">
        <v>143</v>
      </c>
      <c r="E4" t="s">
        <v>151</v>
      </c>
    </row>
    <row r="5" spans="1:5">
      <c r="A5" t="s">
        <v>65</v>
      </c>
      <c r="B5">
        <v>120</v>
      </c>
      <c r="C5">
        <v>0.15</v>
      </c>
      <c r="D5" t="s">
        <v>144</v>
      </c>
      <c r="E5" t="s">
        <v>152</v>
      </c>
    </row>
    <row r="6" spans="1:5">
      <c r="A6" t="s">
        <v>66</v>
      </c>
      <c r="B6">
        <v>100</v>
      </c>
      <c r="C6">
        <v>0.15</v>
      </c>
      <c r="D6" t="s">
        <v>144</v>
      </c>
      <c r="E6" t="s">
        <v>153</v>
      </c>
    </row>
    <row r="7" spans="1:5">
      <c r="A7" t="s">
        <v>67</v>
      </c>
      <c r="B7">
        <v>100</v>
      </c>
      <c r="C7">
        <v>0.15</v>
      </c>
      <c r="D7" t="s">
        <v>144</v>
      </c>
      <c r="E7" t="s">
        <v>153</v>
      </c>
    </row>
    <row r="8" spans="1:5">
      <c r="A8" t="s">
        <v>68</v>
      </c>
      <c r="B8">
        <v>80</v>
      </c>
      <c r="C8">
        <v>0.1</v>
      </c>
      <c r="D8" t="s">
        <v>145</v>
      </c>
      <c r="E8" t="s">
        <v>154</v>
      </c>
    </row>
    <row r="9" spans="1:5">
      <c r="A9" t="s">
        <v>69</v>
      </c>
      <c r="B9">
        <v>90</v>
      </c>
      <c r="C9">
        <v>0.1</v>
      </c>
      <c r="D9" t="s">
        <v>144</v>
      </c>
      <c r="E9" t="s">
        <v>153</v>
      </c>
    </row>
    <row r="10" spans="1:5">
      <c r="A10" t="s">
        <v>70</v>
      </c>
      <c r="B10">
        <v>60</v>
      </c>
      <c r="C10">
        <v>0.05</v>
      </c>
      <c r="D10" t="s">
        <v>146</v>
      </c>
      <c r="E10" t="s">
        <v>155</v>
      </c>
    </row>
    <row r="11" spans="1:5">
      <c r="A11" t="s">
        <v>71</v>
      </c>
      <c r="B11">
        <v>110</v>
      </c>
      <c r="C11">
        <v>0.1</v>
      </c>
      <c r="D11" t="s">
        <v>147</v>
      </c>
      <c r="E11" t="s">
        <v>152</v>
      </c>
    </row>
    <row r="12" spans="1:5">
      <c r="A12" t="s">
        <v>72</v>
      </c>
      <c r="B12">
        <v>110</v>
      </c>
      <c r="C12">
        <v>0.1</v>
      </c>
      <c r="D12" t="s">
        <v>148</v>
      </c>
      <c r="E12" t="s">
        <v>152</v>
      </c>
    </row>
    <row r="13" spans="1:5">
      <c r="A13" t="s">
        <v>73</v>
      </c>
      <c r="B13">
        <v>100</v>
      </c>
      <c r="C13">
        <v>0.1</v>
      </c>
      <c r="D13" t="s">
        <v>144</v>
      </c>
      <c r="E13" t="s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3.7109375" customWidth="1"/>
    <col min="3" max="3" width="53.7109375" customWidth="1"/>
  </cols>
  <sheetData>
    <row r="1" spans="1:3">
      <c r="A1" s="1" t="s">
        <v>156</v>
      </c>
      <c r="B1" s="1" t="s">
        <v>157</v>
      </c>
      <c r="C1" s="1" t="s">
        <v>140</v>
      </c>
    </row>
    <row r="2" spans="1:3">
      <c r="A2" t="s">
        <v>158</v>
      </c>
      <c r="B2" t="s">
        <v>164</v>
      </c>
      <c r="C2" t="s">
        <v>170</v>
      </c>
    </row>
    <row r="3" spans="1:3">
      <c r="A3" t="s">
        <v>159</v>
      </c>
      <c r="B3" t="s">
        <v>165</v>
      </c>
      <c r="C3" t="s">
        <v>171</v>
      </c>
    </row>
    <row r="4" spans="1:3">
      <c r="A4" t="s">
        <v>160</v>
      </c>
      <c r="B4" t="s">
        <v>166</v>
      </c>
      <c r="C4" t="s">
        <v>172</v>
      </c>
    </row>
    <row r="5" spans="1:3">
      <c r="A5" t="s">
        <v>161</v>
      </c>
      <c r="B5" t="s">
        <v>167</v>
      </c>
      <c r="C5" t="s">
        <v>173</v>
      </c>
    </row>
    <row r="6" spans="1:3">
      <c r="A6" t="s">
        <v>162</v>
      </c>
      <c r="B6" t="s">
        <v>168</v>
      </c>
      <c r="C6" t="s">
        <v>174</v>
      </c>
    </row>
    <row r="7" spans="1:3">
      <c r="A7" t="s">
        <v>163</v>
      </c>
      <c r="B7" t="s">
        <v>169</v>
      </c>
      <c r="C7" t="s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  <col min="5" max="5" width="36.7109375" customWidth="1"/>
  </cols>
  <sheetData>
    <row r="1" spans="1:5">
      <c r="A1" s="1" t="s">
        <v>57</v>
      </c>
      <c r="B1" s="1" t="s">
        <v>176</v>
      </c>
      <c r="C1" s="1" t="s">
        <v>177</v>
      </c>
      <c r="D1" s="1" t="s">
        <v>178</v>
      </c>
      <c r="E1" s="1" t="s">
        <v>140</v>
      </c>
    </row>
    <row r="2" spans="1:5">
      <c r="A2" t="s">
        <v>63</v>
      </c>
      <c r="B2" t="s">
        <v>181</v>
      </c>
      <c r="C2">
        <v>2</v>
      </c>
      <c r="D2" t="s">
        <v>192</v>
      </c>
      <c r="E2" t="s">
        <v>198</v>
      </c>
    </row>
    <row r="3" spans="1:5">
      <c r="A3" t="s">
        <v>64</v>
      </c>
      <c r="B3" t="s">
        <v>182</v>
      </c>
      <c r="C3">
        <v>2</v>
      </c>
      <c r="D3" t="s">
        <v>192</v>
      </c>
      <c r="E3" t="s">
        <v>198</v>
      </c>
    </row>
    <row r="4" spans="1:5">
      <c r="A4" t="s">
        <v>179</v>
      </c>
      <c r="B4" t="s">
        <v>183</v>
      </c>
      <c r="C4">
        <v>1</v>
      </c>
      <c r="D4" t="s">
        <v>193</v>
      </c>
      <c r="E4" t="s">
        <v>199</v>
      </c>
    </row>
    <row r="5" spans="1:5">
      <c r="A5" t="s">
        <v>180</v>
      </c>
      <c r="B5" t="s">
        <v>184</v>
      </c>
      <c r="C5">
        <v>1</v>
      </c>
      <c r="D5" t="s">
        <v>193</v>
      </c>
      <c r="E5" t="s">
        <v>200</v>
      </c>
    </row>
    <row r="6" spans="1:5">
      <c r="A6" t="s">
        <v>66</v>
      </c>
      <c r="B6" t="s">
        <v>185</v>
      </c>
      <c r="C6">
        <v>0.25</v>
      </c>
      <c r="D6" t="s">
        <v>194</v>
      </c>
      <c r="E6" t="s">
        <v>201</v>
      </c>
    </row>
    <row r="7" spans="1:5">
      <c r="A7" t="s">
        <v>67</v>
      </c>
      <c r="B7" t="s">
        <v>186</v>
      </c>
      <c r="C7">
        <v>0.4</v>
      </c>
      <c r="D7" t="s">
        <v>194</v>
      </c>
      <c r="E7" t="s">
        <v>202</v>
      </c>
    </row>
    <row r="8" spans="1:5">
      <c r="A8" t="s">
        <v>69</v>
      </c>
      <c r="B8" t="s">
        <v>187</v>
      </c>
      <c r="C8">
        <v>0.5</v>
      </c>
      <c r="D8" t="s">
        <v>194</v>
      </c>
      <c r="E8" t="s">
        <v>203</v>
      </c>
    </row>
    <row r="9" spans="1:5">
      <c r="A9" t="s">
        <v>73</v>
      </c>
      <c r="B9" t="s">
        <v>188</v>
      </c>
      <c r="C9">
        <v>25</v>
      </c>
      <c r="D9" t="s">
        <v>195</v>
      </c>
      <c r="E9" t="s">
        <v>204</v>
      </c>
    </row>
    <row r="10" spans="1:5">
      <c r="A10" t="s">
        <v>70</v>
      </c>
      <c r="B10" t="s">
        <v>189</v>
      </c>
      <c r="C10">
        <v>3</v>
      </c>
      <c r="D10" t="s">
        <v>196</v>
      </c>
      <c r="E10" t="s">
        <v>205</v>
      </c>
    </row>
    <row r="11" spans="1:5">
      <c r="A11" t="s">
        <v>72</v>
      </c>
      <c r="B11" t="s">
        <v>190</v>
      </c>
      <c r="C11">
        <v>0.5</v>
      </c>
      <c r="D11" t="s">
        <v>192</v>
      </c>
      <c r="E11" t="s">
        <v>206</v>
      </c>
    </row>
    <row r="12" spans="1:5">
      <c r="A12" t="s">
        <v>71</v>
      </c>
      <c r="B12" t="s">
        <v>191</v>
      </c>
      <c r="C12">
        <v>0.15</v>
      </c>
      <c r="D12" t="s">
        <v>197</v>
      </c>
      <c r="E12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63.7109375" customWidth="1"/>
  </cols>
  <sheetData>
    <row r="1" spans="1:2">
      <c r="A1" s="1" t="s">
        <v>57</v>
      </c>
      <c r="B1" s="1" t="s">
        <v>208</v>
      </c>
    </row>
    <row r="2" spans="1:2">
      <c r="A2" t="s">
        <v>62</v>
      </c>
      <c r="B2" t="s">
        <v>209</v>
      </c>
    </row>
    <row r="3" spans="1:2">
      <c r="A3" t="s">
        <v>63</v>
      </c>
      <c r="B3" t="s">
        <v>210</v>
      </c>
    </row>
    <row r="4" spans="1:2">
      <c r="A4" t="s">
        <v>64</v>
      </c>
      <c r="B4" t="s">
        <v>211</v>
      </c>
    </row>
    <row r="5" spans="1:2">
      <c r="A5" t="s">
        <v>65</v>
      </c>
      <c r="B5" t="s">
        <v>212</v>
      </c>
    </row>
    <row r="6" spans="1:2">
      <c r="A6" t="s">
        <v>66</v>
      </c>
      <c r="B6" t="s">
        <v>213</v>
      </c>
    </row>
    <row r="7" spans="1:2">
      <c r="A7" t="s">
        <v>67</v>
      </c>
      <c r="B7" t="s">
        <v>214</v>
      </c>
    </row>
    <row r="8" spans="1:2">
      <c r="A8" t="s">
        <v>68</v>
      </c>
      <c r="B8" t="s">
        <v>215</v>
      </c>
    </row>
    <row r="9" spans="1:2">
      <c r="A9" t="s">
        <v>69</v>
      </c>
      <c r="B9" t="s">
        <v>216</v>
      </c>
    </row>
    <row r="10" spans="1:2">
      <c r="A10" t="s">
        <v>70</v>
      </c>
      <c r="B10" t="s">
        <v>217</v>
      </c>
    </row>
    <row r="11" spans="1:2">
      <c r="A11" t="s">
        <v>71</v>
      </c>
      <c r="B11" t="s">
        <v>218</v>
      </c>
    </row>
    <row r="12" spans="1:2">
      <c r="A12" t="s">
        <v>72</v>
      </c>
      <c r="B12" t="s">
        <v>219</v>
      </c>
    </row>
    <row r="13" spans="1:2">
      <c r="A13" t="s">
        <v>73</v>
      </c>
      <c r="B13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5" width="38.7109375" customWidth="1"/>
    <col min="6" max="6" width="21.7109375" customWidth="1"/>
    <col min="7" max="7" width="23.7109375" customWidth="1"/>
    <col min="8" max="8" width="32.7109375" customWidth="1"/>
    <col min="9" max="9" width="40.7109375" customWidth="1"/>
  </cols>
  <sheetData>
    <row r="1" spans="1:9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</row>
    <row r="2" spans="1:9">
      <c r="A2" t="s">
        <v>230</v>
      </c>
      <c r="B2" t="s">
        <v>236</v>
      </c>
      <c r="C2" t="s">
        <v>242</v>
      </c>
      <c r="D2" t="s">
        <v>248</v>
      </c>
      <c r="E2" t="s">
        <v>254</v>
      </c>
      <c r="F2" t="s">
        <v>260</v>
      </c>
      <c r="G2" t="s">
        <v>266</v>
      </c>
      <c r="H2" t="s">
        <v>272</v>
      </c>
      <c r="I2" t="s">
        <v>278</v>
      </c>
    </row>
    <row r="3" spans="1:9">
      <c r="A3" t="s">
        <v>231</v>
      </c>
      <c r="B3" t="s">
        <v>237</v>
      </c>
      <c r="C3" t="s">
        <v>243</v>
      </c>
      <c r="D3" t="s">
        <v>249</v>
      </c>
      <c r="E3" t="s">
        <v>255</v>
      </c>
      <c r="F3" t="s">
        <v>261</v>
      </c>
      <c r="G3" t="s">
        <v>267</v>
      </c>
      <c r="H3" t="s">
        <v>273</v>
      </c>
    </row>
    <row r="4" spans="1:9">
      <c r="A4" t="s">
        <v>232</v>
      </c>
      <c r="B4" t="s">
        <v>238</v>
      </c>
      <c r="C4" t="s">
        <v>244</v>
      </c>
      <c r="D4" t="s">
        <v>250</v>
      </c>
      <c r="E4" t="s">
        <v>256</v>
      </c>
      <c r="F4" t="s">
        <v>262</v>
      </c>
      <c r="G4" t="s">
        <v>268</v>
      </c>
      <c r="H4" t="s">
        <v>274</v>
      </c>
    </row>
    <row r="5" spans="1:9">
      <c r="A5" t="s">
        <v>233</v>
      </c>
      <c r="B5" t="s">
        <v>239</v>
      </c>
      <c r="C5" t="s">
        <v>245</v>
      </c>
      <c r="D5" t="s">
        <v>251</v>
      </c>
      <c r="E5" t="s">
        <v>257</v>
      </c>
      <c r="F5" t="s">
        <v>263</v>
      </c>
      <c r="G5" t="s">
        <v>269</v>
      </c>
      <c r="H5" t="s">
        <v>275</v>
      </c>
    </row>
    <row r="6" spans="1:9">
      <c r="A6" t="s">
        <v>234</v>
      </c>
      <c r="B6" t="s">
        <v>240</v>
      </c>
      <c r="C6" t="s">
        <v>246</v>
      </c>
      <c r="D6" t="s">
        <v>252</v>
      </c>
      <c r="E6" t="s">
        <v>258</v>
      </c>
      <c r="F6" t="s">
        <v>264</v>
      </c>
      <c r="G6" t="s">
        <v>270</v>
      </c>
      <c r="H6" t="s">
        <v>276</v>
      </c>
    </row>
    <row r="7" spans="1:9">
      <c r="A7" t="s">
        <v>235</v>
      </c>
      <c r="B7" t="s">
        <v>241</v>
      </c>
      <c r="C7" t="s">
        <v>247</v>
      </c>
      <c r="D7" t="s">
        <v>253</v>
      </c>
      <c r="E7" t="s">
        <v>259</v>
      </c>
      <c r="F7" t="s">
        <v>265</v>
      </c>
      <c r="G7" t="s">
        <v>271</v>
      </c>
      <c r="H7" t="s">
        <v>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4" width="18.7109375" customWidth="1"/>
    <col min="5" max="5" width="49.7109375" customWidth="1"/>
  </cols>
  <sheetData>
    <row r="1" spans="1:5">
      <c r="A1" s="1" t="s">
        <v>279</v>
      </c>
      <c r="B1" s="1" t="s">
        <v>130</v>
      </c>
      <c r="C1" s="1" t="s">
        <v>280</v>
      </c>
      <c r="D1" s="1" t="s">
        <v>281</v>
      </c>
      <c r="E1" s="1" t="s">
        <v>140</v>
      </c>
    </row>
    <row r="2" spans="1:5">
      <c r="A2" t="s">
        <v>282</v>
      </c>
      <c r="B2">
        <v>45</v>
      </c>
      <c r="C2">
        <v>20</v>
      </c>
      <c r="D2">
        <v>120</v>
      </c>
      <c r="E2" t="s">
        <v>292</v>
      </c>
    </row>
    <row r="3" spans="1:5">
      <c r="A3" t="s">
        <v>283</v>
      </c>
      <c r="B3">
        <v>0.2</v>
      </c>
      <c r="C3">
        <v>0.1</v>
      </c>
      <c r="D3">
        <v>0.4</v>
      </c>
      <c r="E3" t="s">
        <v>293</v>
      </c>
    </row>
    <row r="4" spans="1:5">
      <c r="A4" t="s">
        <v>284</v>
      </c>
      <c r="B4">
        <v>0.02</v>
      </c>
      <c r="C4">
        <v>0</v>
      </c>
      <c r="D4">
        <v>0.05</v>
      </c>
      <c r="E4" t="s">
        <v>294</v>
      </c>
    </row>
    <row r="5" spans="1:5">
      <c r="A5" t="s">
        <v>285</v>
      </c>
      <c r="B5">
        <v>0.1</v>
      </c>
      <c r="C5">
        <v>0.05</v>
      </c>
      <c r="D5">
        <v>0.25</v>
      </c>
      <c r="E5" t="s">
        <v>295</v>
      </c>
    </row>
    <row r="6" spans="1:5">
      <c r="A6" t="s">
        <v>286</v>
      </c>
      <c r="B6">
        <v>1</v>
      </c>
      <c r="C6">
        <v>0.5</v>
      </c>
      <c r="D6">
        <v>2</v>
      </c>
      <c r="E6" t="s">
        <v>296</v>
      </c>
    </row>
    <row r="7" spans="1:5">
      <c r="A7" t="s">
        <v>287</v>
      </c>
      <c r="B7">
        <v>0.5</v>
      </c>
      <c r="C7">
        <v>0.25</v>
      </c>
      <c r="D7">
        <v>1</v>
      </c>
      <c r="E7" t="s">
        <v>297</v>
      </c>
    </row>
    <row r="8" spans="1:5">
      <c r="A8" t="s">
        <v>288</v>
      </c>
      <c r="B8">
        <v>3</v>
      </c>
      <c r="C8">
        <v>2</v>
      </c>
      <c r="D8">
        <v>5</v>
      </c>
      <c r="E8" t="s">
        <v>298</v>
      </c>
    </row>
    <row r="9" spans="1:5">
      <c r="A9" t="s">
        <v>289</v>
      </c>
      <c r="B9">
        <v>1</v>
      </c>
      <c r="C9">
        <v>0.5</v>
      </c>
      <c r="D9">
        <v>2</v>
      </c>
      <c r="E9" t="s">
        <v>299</v>
      </c>
    </row>
    <row r="10" spans="1:5">
      <c r="A10" t="s">
        <v>290</v>
      </c>
      <c r="B10">
        <v>3</v>
      </c>
      <c r="C10">
        <v>1</v>
      </c>
      <c r="D10">
        <v>5</v>
      </c>
      <c r="E10" t="s">
        <v>300</v>
      </c>
    </row>
    <row r="11" spans="1:5">
      <c r="A11" t="s">
        <v>291</v>
      </c>
      <c r="B11">
        <v>1</v>
      </c>
      <c r="C11">
        <v>0.5</v>
      </c>
      <c r="D11">
        <v>2</v>
      </c>
      <c r="E11" t="s">
        <v>301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39.7109375" customWidth="1"/>
  </cols>
  <sheetData>
    <row r="1" spans="1:3">
      <c r="A1" s="1" t="s">
        <v>302</v>
      </c>
      <c r="B1" s="1" t="s">
        <v>303</v>
      </c>
      <c r="C1" s="1" t="s">
        <v>140</v>
      </c>
    </row>
    <row r="2" spans="1:3">
      <c r="A2" t="s">
        <v>304</v>
      </c>
      <c r="B2">
        <v>0</v>
      </c>
      <c r="C2" t="s">
        <v>309</v>
      </c>
    </row>
    <row r="3" spans="1:3">
      <c r="A3" t="s">
        <v>305</v>
      </c>
      <c r="B3">
        <v>0</v>
      </c>
      <c r="C3" t="s">
        <v>310</v>
      </c>
    </row>
    <row r="4" spans="1:3">
      <c r="A4" t="s">
        <v>306</v>
      </c>
      <c r="B4">
        <v>0</v>
      </c>
      <c r="C4" t="s">
        <v>311</v>
      </c>
    </row>
    <row r="5" spans="1:3">
      <c r="A5" t="s">
        <v>307</v>
      </c>
      <c r="B5">
        <v>0</v>
      </c>
      <c r="C5" t="s">
        <v>312</v>
      </c>
    </row>
    <row r="6" spans="1:3">
      <c r="A6" t="s">
        <v>308</v>
      </c>
      <c r="B6">
        <v>0</v>
      </c>
      <c r="C6" t="s">
        <v>312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3" width="18.7109375" customWidth="1"/>
    <col min="4" max="4" width="19.7109375" customWidth="1"/>
    <col min="5" max="5" width="25.7109375" customWidth="1"/>
    <col min="6" max="6" width="19.7109375" customWidth="1"/>
    <col min="7" max="8" width="18.7109375" customWidth="1"/>
  </cols>
  <sheetData>
    <row r="1" spans="1:8">
      <c r="A1" s="1" t="s">
        <v>176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</row>
    <row r="2" spans="1:8">
      <c r="A2" t="s">
        <v>320</v>
      </c>
      <c r="B2">
        <v>0</v>
      </c>
      <c r="C2" t="s">
        <v>324</v>
      </c>
      <c r="D2" t="s">
        <v>326</v>
      </c>
      <c r="E2" t="s">
        <v>282</v>
      </c>
      <c r="F2" t="s">
        <v>283</v>
      </c>
    </row>
    <row r="3" spans="1:8">
      <c r="A3" t="s">
        <v>321</v>
      </c>
      <c r="B3">
        <v>0</v>
      </c>
      <c r="C3" t="s">
        <v>325</v>
      </c>
      <c r="D3" t="s">
        <v>327</v>
      </c>
      <c r="E3" t="s">
        <v>329</v>
      </c>
    </row>
    <row r="4" spans="1:8">
      <c r="A4" t="s">
        <v>322</v>
      </c>
      <c r="B4">
        <v>0</v>
      </c>
      <c r="C4" t="s">
        <v>177</v>
      </c>
      <c r="D4" t="s">
        <v>328</v>
      </c>
      <c r="E4" t="s">
        <v>111</v>
      </c>
      <c r="F4" t="s">
        <v>330</v>
      </c>
      <c r="G4" t="s">
        <v>331</v>
      </c>
      <c r="H4" t="s">
        <v>332</v>
      </c>
    </row>
    <row r="5" spans="1:8">
      <c r="A5" t="s">
        <v>323</v>
      </c>
      <c r="B5">
        <v>0</v>
      </c>
      <c r="C5" t="s">
        <v>111</v>
      </c>
      <c r="D5" t="s">
        <v>288</v>
      </c>
      <c r="E5" t="s">
        <v>289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0.7109375" customWidth="1"/>
  </cols>
  <sheetData>
    <row r="1" spans="1:11">
      <c r="A1" s="1" t="s">
        <v>57</v>
      </c>
      <c r="B1" s="1" t="s">
        <v>111</v>
      </c>
      <c r="C1" s="1" t="s">
        <v>333</v>
      </c>
      <c r="D1" s="1" t="s">
        <v>325</v>
      </c>
      <c r="E1" s="1" t="s">
        <v>327</v>
      </c>
      <c r="F1" s="1" t="s">
        <v>329</v>
      </c>
      <c r="G1" s="1" t="s">
        <v>334</v>
      </c>
      <c r="H1" s="1" t="s">
        <v>324</v>
      </c>
      <c r="I1" s="1" t="s">
        <v>335</v>
      </c>
      <c r="J1" s="1" t="s">
        <v>336</v>
      </c>
      <c r="K1" s="1" t="s">
        <v>337</v>
      </c>
    </row>
    <row r="2" spans="1:11">
      <c r="A2" t="s">
        <v>63</v>
      </c>
      <c r="B2">
        <v>1</v>
      </c>
      <c r="C2">
        <v>1</v>
      </c>
      <c r="D2">
        <v>10</v>
      </c>
      <c r="E2">
        <v>6</v>
      </c>
      <c r="F2">
        <v>0</v>
      </c>
      <c r="G2">
        <v>0</v>
      </c>
      <c r="H2">
        <v>9</v>
      </c>
      <c r="I2">
        <v>1</v>
      </c>
      <c r="J2">
        <f>Tuning_Defaults!B2 * H2 / (1 + (I2-1)*Tuning_Defaults!B3) * C2</f>
        <v>0</v>
      </c>
      <c r="K2">
        <f>D2*External_Links!B2 + E2*External_Links!B3 + F2*External_Links!B1 + G2*25</f>
        <v>0</v>
      </c>
    </row>
    <row r="3" spans="1:11">
      <c r="A3" t="s">
        <v>64</v>
      </c>
      <c r="B3">
        <v>1</v>
      </c>
      <c r="C3">
        <v>1</v>
      </c>
      <c r="D3">
        <v>8</v>
      </c>
      <c r="E3">
        <v>8</v>
      </c>
      <c r="F3">
        <v>0</v>
      </c>
      <c r="G3">
        <v>0</v>
      </c>
      <c r="H3">
        <v>9</v>
      </c>
      <c r="I3">
        <v>1</v>
      </c>
      <c r="J3">
        <f>Tuning_Defaults!B2 * H3 / (1 + (I3-1)*Tuning_Defaults!B3) * C3</f>
        <v>0</v>
      </c>
      <c r="K3">
        <f>D3*External_Links!B2 + E3*External_Links!B3 + F3*External_Links!B1 + G3*25</f>
        <v>0</v>
      </c>
    </row>
    <row r="4" spans="1:11">
      <c r="A4" t="s">
        <v>65</v>
      </c>
      <c r="B4">
        <v>1</v>
      </c>
      <c r="C4">
        <v>1</v>
      </c>
      <c r="D4">
        <v>12</v>
      </c>
      <c r="E4">
        <v>12</v>
      </c>
      <c r="F4">
        <v>0</v>
      </c>
      <c r="G4">
        <v>0</v>
      </c>
      <c r="H4">
        <v>9</v>
      </c>
      <c r="I4">
        <v>1</v>
      </c>
      <c r="J4">
        <f>Tuning_Defaults!B2 * H4 / (1 + (I4-1)*Tuning_Defaults!B3) * C4</f>
        <v>0</v>
      </c>
      <c r="K4">
        <f>D4*External_Links!B2 + E4*External_Links!B3 + F4*External_Links!B1 + G4*25</f>
        <v>0</v>
      </c>
    </row>
    <row r="5" spans="1:11">
      <c r="A5" t="s">
        <v>66</v>
      </c>
      <c r="B5">
        <v>1</v>
      </c>
      <c r="C5">
        <v>0</v>
      </c>
      <c r="D5">
        <v>6</v>
      </c>
      <c r="E5">
        <v>4</v>
      </c>
      <c r="F5">
        <v>0</v>
      </c>
      <c r="G5">
        <v>0</v>
      </c>
      <c r="H5">
        <v>9</v>
      </c>
      <c r="I5">
        <v>1</v>
      </c>
      <c r="J5">
        <f>Tuning_Defaults!B2 * H5 / (1 + (I5-1)*Tuning_Defaults!B3) * C5</f>
        <v>0</v>
      </c>
      <c r="K5">
        <f>D5*External_Links!B2 + E5*External_Links!B3 + F5*External_Links!B1 + G5*25</f>
        <v>0</v>
      </c>
    </row>
    <row r="6" spans="1:11">
      <c r="A6" t="s">
        <v>67</v>
      </c>
      <c r="B6">
        <v>1</v>
      </c>
      <c r="C6">
        <v>0</v>
      </c>
      <c r="D6">
        <v>6</v>
      </c>
      <c r="E6">
        <v>4</v>
      </c>
      <c r="F6">
        <v>0</v>
      </c>
      <c r="G6">
        <v>0</v>
      </c>
      <c r="H6">
        <v>6</v>
      </c>
      <c r="I6">
        <v>1</v>
      </c>
      <c r="J6">
        <f>Tuning_Defaults!B2 * H6 / (1 + (I6-1)*Tuning_Defaults!B3) * C6</f>
        <v>0</v>
      </c>
      <c r="K6">
        <f>D6*External_Links!B2 + E6*External_Links!B3 + F6*External_Links!B1 + G6*25</f>
        <v>0</v>
      </c>
    </row>
    <row r="7" spans="1:11">
      <c r="A7" t="s">
        <v>68</v>
      </c>
      <c r="B7">
        <v>1</v>
      </c>
      <c r="C7">
        <v>2</v>
      </c>
      <c r="D7">
        <v>2</v>
      </c>
      <c r="E7">
        <v>0</v>
      </c>
      <c r="F7">
        <v>0</v>
      </c>
      <c r="G7">
        <v>0</v>
      </c>
      <c r="H7">
        <v>4</v>
      </c>
      <c r="I7">
        <v>1</v>
      </c>
      <c r="J7">
        <f>Tuning_Defaults!B2 * H7 / (1 + (I7-1)*Tuning_Defaults!B3) * C7</f>
        <v>0</v>
      </c>
      <c r="K7">
        <f>D7*External_Links!B2 + E7*External_Links!B3 + F7*External_Links!B1 + G7*25</f>
        <v>0</v>
      </c>
    </row>
    <row r="8" spans="1:11">
      <c r="A8" t="s">
        <v>69</v>
      </c>
      <c r="B8">
        <v>1</v>
      </c>
      <c r="C8">
        <v>1</v>
      </c>
      <c r="D8">
        <v>2</v>
      </c>
      <c r="E8">
        <v>2</v>
      </c>
      <c r="F8">
        <v>0</v>
      </c>
      <c r="G8">
        <v>0</v>
      </c>
      <c r="H8">
        <v>4</v>
      </c>
      <c r="I8">
        <v>1</v>
      </c>
      <c r="J8">
        <f>Tuning_Defaults!B2 * H8 / (1 + (I8-1)*Tuning_Defaults!B3) * C8</f>
        <v>0</v>
      </c>
      <c r="K8">
        <f>D8*External_Links!B2 + E8*External_Links!B3 + F8*External_Links!B1 + G8*25</f>
        <v>0</v>
      </c>
    </row>
    <row r="9" spans="1:11">
      <c r="A9" t="s">
        <v>70</v>
      </c>
      <c r="B9">
        <v>1</v>
      </c>
      <c r="C9">
        <v>3</v>
      </c>
      <c r="D9">
        <v>0</v>
      </c>
      <c r="E9">
        <v>0</v>
      </c>
      <c r="F9">
        <v>1</v>
      </c>
      <c r="G9">
        <v>0</v>
      </c>
      <c r="H9">
        <v>1</v>
      </c>
      <c r="I9">
        <v>1</v>
      </c>
      <c r="J9">
        <f>Tuning_Defaults!B2 * H9 / (1 + (I9-1)*Tuning_Defaults!B3) * C9</f>
        <v>0</v>
      </c>
      <c r="K9">
        <f>D9*External_Links!B2 + E9*External_Links!B3 + F9*External_Links!B1 + G9*25</f>
        <v>0</v>
      </c>
    </row>
    <row r="10" spans="1:11">
      <c r="A10" t="s">
        <v>71</v>
      </c>
      <c r="B10">
        <v>1</v>
      </c>
      <c r="C10">
        <v>0</v>
      </c>
      <c r="D10">
        <v>12</v>
      </c>
      <c r="E10">
        <v>12</v>
      </c>
      <c r="F10">
        <v>0</v>
      </c>
      <c r="G10">
        <v>0</v>
      </c>
      <c r="H10">
        <v>6</v>
      </c>
      <c r="I10">
        <v>1</v>
      </c>
      <c r="J10">
        <f>Tuning_Defaults!B2 * H10 / (1 + (I10-1)*Tuning_Defaults!B3) * C10</f>
        <v>0</v>
      </c>
      <c r="K10">
        <f>D10*External_Links!B2 + E10*External_Links!B3 + F10*External_Links!B1 + G10*25</f>
        <v>0</v>
      </c>
    </row>
    <row r="11" spans="1:11">
      <c r="A11" t="s">
        <v>72</v>
      </c>
      <c r="B11">
        <v>1</v>
      </c>
      <c r="C11">
        <v>0</v>
      </c>
      <c r="D11">
        <v>12</v>
      </c>
      <c r="E11">
        <v>12</v>
      </c>
      <c r="F11">
        <v>0</v>
      </c>
      <c r="G11">
        <v>0</v>
      </c>
      <c r="H11">
        <v>6</v>
      </c>
      <c r="I11">
        <v>1</v>
      </c>
      <c r="J11">
        <f>Tuning_Defaults!B2 * H11 / (1 + (I11-1)*Tuning_Defaults!B3) * C11</f>
        <v>0</v>
      </c>
      <c r="K11">
        <f>D11*External_Links!B2 + E11*External_Links!B3 + F11*External_Links!B1 + G11*25</f>
        <v>0</v>
      </c>
    </row>
    <row r="12" spans="1:11">
      <c r="A12" t="s">
        <v>73</v>
      </c>
      <c r="B12">
        <v>1</v>
      </c>
      <c r="C12">
        <v>1</v>
      </c>
      <c r="D12">
        <v>6</v>
      </c>
      <c r="E12">
        <v>6</v>
      </c>
      <c r="F12">
        <v>0</v>
      </c>
      <c r="G12">
        <v>0</v>
      </c>
      <c r="H12">
        <v>4</v>
      </c>
      <c r="I12">
        <v>1</v>
      </c>
      <c r="J12">
        <f>Tuning_Defaults!B2 * H12 / (1 + (I12-1)*Tuning_Defaults!B3) * C12</f>
        <v>0</v>
      </c>
      <c r="K12">
        <f>D12*External_Links!B2 + E12*External_Links!B3 + F12*External_Links!B1 + G12*25</f>
        <v>0</v>
      </c>
    </row>
    <row r="13" spans="1:11">
      <c r="A13" t="s">
        <v>62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9</v>
      </c>
      <c r="I13">
        <v>1</v>
      </c>
      <c r="J13">
        <f>Tuning_Defaults!B2 * H13 / (1 + (I13-1)*Tuning_Defaults!B3) * C13</f>
        <v>0</v>
      </c>
      <c r="K13">
        <f>D13*External_Links!B2 + E13*External_Links!B3 + F13*External_Links!B1 + G13*25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22.7109375" customWidth="1"/>
  </cols>
  <sheetData>
    <row r="1" spans="1:10">
      <c r="A1" s="1" t="s">
        <v>57</v>
      </c>
      <c r="B1" s="1" t="s">
        <v>333</v>
      </c>
      <c r="C1" s="1" t="s">
        <v>138</v>
      </c>
      <c r="D1" s="1" t="s">
        <v>139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 spans="1:10">
      <c r="A2" t="s">
        <v>63</v>
      </c>
      <c r="B2">
        <v>1</v>
      </c>
      <c r="C2">
        <v>120</v>
      </c>
      <c r="D2">
        <v>0.2</v>
      </c>
      <c r="E2">
        <v>0</v>
      </c>
      <c r="F2">
        <v>2</v>
      </c>
      <c r="G2">
        <v>1</v>
      </c>
      <c r="H2">
        <v>0</v>
      </c>
      <c r="I2">
        <f>C2*D2*B2 + C2*B2*E2*Tuning_Defaults!B4</f>
        <v>0</v>
      </c>
      <c r="J2">
        <f>(F2*External_Links!B2 + G2*External_Links!B3 + H2*External_Links!B1) * B2</f>
        <v>0</v>
      </c>
    </row>
    <row r="3" spans="1:10">
      <c r="A3" t="s">
        <v>64</v>
      </c>
      <c r="B3">
        <v>1</v>
      </c>
      <c r="C3">
        <v>130</v>
      </c>
      <c r="D3">
        <v>0.2</v>
      </c>
      <c r="E3">
        <v>0</v>
      </c>
      <c r="F3">
        <v>1</v>
      </c>
      <c r="G3">
        <v>2</v>
      </c>
      <c r="H3">
        <v>0</v>
      </c>
      <c r="I3">
        <f>C3*D3*B3 + C3*B3*E3*Tuning_Defaults!B4</f>
        <v>0</v>
      </c>
      <c r="J3">
        <f>(F3*External_Links!B2 + G3*External_Links!B3 + H3*External_Links!B1) * B3</f>
        <v>0</v>
      </c>
    </row>
    <row r="4" spans="1:10">
      <c r="A4" t="s">
        <v>65</v>
      </c>
      <c r="B4">
        <v>1</v>
      </c>
      <c r="C4">
        <v>120</v>
      </c>
      <c r="D4">
        <v>0.15</v>
      </c>
      <c r="E4">
        <v>0</v>
      </c>
      <c r="F4">
        <v>2</v>
      </c>
      <c r="G4">
        <v>2</v>
      </c>
      <c r="H4">
        <v>0</v>
      </c>
      <c r="I4">
        <f>C4*D4*B4 + C4*B4*E4*Tuning_Defaults!B4</f>
        <v>0</v>
      </c>
      <c r="J4">
        <f>(F4*External_Links!B2 + G4*External_Links!B3 + H4*External_Links!B1) * B4</f>
        <v>0</v>
      </c>
    </row>
    <row r="5" spans="1:10">
      <c r="A5" t="s">
        <v>66</v>
      </c>
      <c r="B5">
        <v>0</v>
      </c>
      <c r="C5">
        <v>100</v>
      </c>
      <c r="D5">
        <v>0.15</v>
      </c>
      <c r="E5">
        <v>0</v>
      </c>
      <c r="F5">
        <v>1</v>
      </c>
      <c r="G5">
        <v>1</v>
      </c>
      <c r="H5">
        <v>0</v>
      </c>
      <c r="I5">
        <f>C5*D5*B5 + C5*B5*E5*Tuning_Defaults!B4</f>
        <v>0</v>
      </c>
      <c r="J5">
        <f>(F5*External_Links!B2 + G5*External_Links!B3 + H5*External_Links!B1) * B5</f>
        <v>0</v>
      </c>
    </row>
    <row r="6" spans="1:10">
      <c r="A6" t="s">
        <v>67</v>
      </c>
      <c r="B6">
        <v>0</v>
      </c>
      <c r="C6">
        <v>100</v>
      </c>
      <c r="D6">
        <v>0.15</v>
      </c>
      <c r="E6">
        <v>0</v>
      </c>
      <c r="F6">
        <v>1</v>
      </c>
      <c r="G6">
        <v>1</v>
      </c>
      <c r="H6">
        <v>0</v>
      </c>
      <c r="I6">
        <f>C6*D6*B6 + C6*B6*E6*Tuning_Defaults!B4</f>
        <v>0</v>
      </c>
      <c r="J6">
        <f>(F6*External_Links!B2 + G6*External_Links!B3 + H6*External_Links!B1) * B6</f>
        <v>0</v>
      </c>
    </row>
    <row r="7" spans="1:10">
      <c r="A7" t="s">
        <v>68</v>
      </c>
      <c r="B7">
        <v>2</v>
      </c>
      <c r="C7">
        <v>80</v>
      </c>
      <c r="D7">
        <v>0.1</v>
      </c>
      <c r="E7">
        <v>0</v>
      </c>
      <c r="F7">
        <v>1</v>
      </c>
      <c r="G7">
        <v>0</v>
      </c>
      <c r="H7">
        <v>0</v>
      </c>
      <c r="I7">
        <f>C7*D7*B7 + C7*B7*E7*Tuning_Defaults!B4</f>
        <v>0</v>
      </c>
      <c r="J7">
        <f>(F7*External_Links!B2 + G7*External_Links!B3 + H7*External_Links!B1) * B7</f>
        <v>0</v>
      </c>
    </row>
    <row r="8" spans="1:10">
      <c r="A8" t="s">
        <v>69</v>
      </c>
      <c r="B8">
        <v>1</v>
      </c>
      <c r="C8">
        <v>90</v>
      </c>
      <c r="D8">
        <v>0.1</v>
      </c>
      <c r="E8">
        <v>0</v>
      </c>
      <c r="F8">
        <v>1</v>
      </c>
      <c r="G8">
        <v>1</v>
      </c>
      <c r="H8">
        <v>0</v>
      </c>
      <c r="I8">
        <f>C8*D8*B8 + C8*B8*E8*Tuning_Defaults!B4</f>
        <v>0</v>
      </c>
      <c r="J8">
        <f>(F8*External_Links!B2 + G8*External_Links!B3 + H8*External_Links!B1) * B8</f>
        <v>0</v>
      </c>
    </row>
    <row r="9" spans="1:10">
      <c r="A9" t="s">
        <v>70</v>
      </c>
      <c r="B9">
        <v>3</v>
      </c>
      <c r="C9">
        <v>60</v>
      </c>
      <c r="D9">
        <v>0.05</v>
      </c>
      <c r="E9">
        <v>0</v>
      </c>
      <c r="F9">
        <v>0</v>
      </c>
      <c r="G9">
        <v>0</v>
      </c>
      <c r="H9">
        <v>1</v>
      </c>
      <c r="I9">
        <f>C9*D9*B9 + C9*B9*E9*Tuning_Defaults!B4</f>
        <v>0</v>
      </c>
      <c r="J9">
        <f>(F9*External_Links!B2 + G9*External_Links!B3 + H9*External_Links!B1) * B9</f>
        <v>0</v>
      </c>
    </row>
    <row r="10" spans="1:10">
      <c r="A10" t="s">
        <v>71</v>
      </c>
      <c r="B10">
        <v>0</v>
      </c>
      <c r="C10">
        <v>110</v>
      </c>
      <c r="D10">
        <v>0.1</v>
      </c>
      <c r="E10">
        <v>0</v>
      </c>
      <c r="F10">
        <v>2</v>
      </c>
      <c r="G10">
        <v>2</v>
      </c>
      <c r="H10">
        <v>0</v>
      </c>
      <c r="I10">
        <f>C10*D10*B10 + C10*B10*E10*Tuning_Defaults!B4</f>
        <v>0</v>
      </c>
      <c r="J10">
        <f>(F10*External_Links!B2 + G10*External_Links!B3 + H10*External_Links!B1) * B10</f>
        <v>0</v>
      </c>
    </row>
    <row r="11" spans="1:10">
      <c r="A11" t="s">
        <v>72</v>
      </c>
      <c r="B11">
        <v>0</v>
      </c>
      <c r="C11">
        <v>110</v>
      </c>
      <c r="D11">
        <v>0.1</v>
      </c>
      <c r="E11">
        <v>0</v>
      </c>
      <c r="F11">
        <v>2</v>
      </c>
      <c r="G11">
        <v>2</v>
      </c>
      <c r="H11">
        <v>0</v>
      </c>
      <c r="I11">
        <f>C11*D11*B11 + C11*B11*E11*Tuning_Defaults!B4</f>
        <v>0</v>
      </c>
      <c r="J11">
        <f>(F11*External_Links!B2 + G11*External_Links!B3 + H11*External_Links!B1) * B11</f>
        <v>0</v>
      </c>
    </row>
    <row r="12" spans="1:10">
      <c r="A12" t="s">
        <v>73</v>
      </c>
      <c r="B12">
        <v>1</v>
      </c>
      <c r="C12">
        <v>100</v>
      </c>
      <c r="D12">
        <v>0.1</v>
      </c>
      <c r="E12">
        <v>0</v>
      </c>
      <c r="F12">
        <v>1</v>
      </c>
      <c r="G12">
        <v>1</v>
      </c>
      <c r="H12">
        <v>0</v>
      </c>
      <c r="I12">
        <f>C12*D12*B12 + C12*B12*E12*Tuning_Defaults!B4</f>
        <v>0</v>
      </c>
      <c r="J12">
        <f>(F12*External_Links!B2 + G12*External_Links!B3 + H12*External_Links!B1) * B12</f>
        <v>0</v>
      </c>
    </row>
    <row r="13" spans="1:10">
      <c r="A13" t="s">
        <v>62</v>
      </c>
      <c r="B13">
        <v>1</v>
      </c>
      <c r="C13">
        <v>100</v>
      </c>
      <c r="D13">
        <v>0.1</v>
      </c>
      <c r="E13">
        <v>0</v>
      </c>
      <c r="F13">
        <v>2</v>
      </c>
      <c r="G13">
        <v>0</v>
      </c>
      <c r="H13">
        <v>0</v>
      </c>
      <c r="I13">
        <f>C13*D13*B13 + C13*B13*E13*Tuning_Defaults!B4</f>
        <v>0</v>
      </c>
      <c r="J13">
        <f>(F13*External_Links!B2 + G13*External_Links!B3 + H13*External_Links!B1) * B13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2.7109375" customWidth="1"/>
  </cols>
  <sheetData>
    <row r="1" spans="1:9">
      <c r="A1" s="1" t="s">
        <v>344</v>
      </c>
      <c r="B1" s="1" t="s">
        <v>111</v>
      </c>
      <c r="C1" s="1" t="s">
        <v>330</v>
      </c>
      <c r="D1" s="1" t="s">
        <v>331</v>
      </c>
      <c r="E1" s="1" t="s">
        <v>332</v>
      </c>
      <c r="F1" s="1" t="s">
        <v>177</v>
      </c>
      <c r="G1" s="1" t="s">
        <v>328</v>
      </c>
      <c r="H1" s="1" t="s">
        <v>345</v>
      </c>
      <c r="I1" s="1" t="s">
        <v>346</v>
      </c>
    </row>
    <row r="2" spans="1:9">
      <c r="A2" t="s">
        <v>63</v>
      </c>
      <c r="B2">
        <v>1</v>
      </c>
      <c r="C2">
        <v>1</v>
      </c>
      <c r="D2">
        <v>1</v>
      </c>
      <c r="E2">
        <v>1</v>
      </c>
      <c r="F2" cm="1">
        <f t="array" ref="F2">_xlfn.XLOOKUP(A2,'Station_Throughput'!$A:$A,'Station_Throughput'!$C:$C,0)</f>
        <v>0</v>
      </c>
      <c r="G2" cm="1">
        <f t="array" ref="G2">VALUE(SUBSTITUTE(_xlfn.XLOOKUP(A2,'Station_Throughput'!$A:$A,'Station_Throughput'!$D:$D,0),"+",""))</f>
        <v>0</v>
      </c>
      <c r="H2">
        <f>B2 * (1 + C2*A2) * D2 * E2 * F2</f>
        <v>0</v>
      </c>
      <c r="I2">
        <f>IF(A2="SAWMILL", H2*External_Links!B2, IF(A2="QUARRY", H3*External_Links!B3, IF(A2="WORKSHOP_BOARDS", H4*External_Links!B4, IF(A2="WORKSHOP_BRICKS", H5*External_Links!B5, "—"))))</f>
        <v>0</v>
      </c>
    </row>
    <row r="3" spans="1:9">
      <c r="A3" t="s">
        <v>64</v>
      </c>
      <c r="B3">
        <v>1</v>
      </c>
      <c r="C3">
        <v>1</v>
      </c>
      <c r="D3">
        <v>1</v>
      </c>
      <c r="E3">
        <v>1</v>
      </c>
      <c r="F3" cm="1">
        <f t="array" ref="F3">_xlfn.XLOOKUP(A3,'Station_Throughput'!$A:$A,'Station_Throughput'!$C:$C,0)</f>
        <v>0</v>
      </c>
      <c r="G3" cm="1">
        <f t="array" ref="G3">VALUE(SUBSTITUTE(_xlfn.XLOOKUP(A3,'Station_Throughput'!$A:$A,'Station_Throughput'!$D:$D,0),"+",""))</f>
        <v>0</v>
      </c>
      <c r="H3">
        <f>B3 * (1 + C3*A3) * D3 * E3 * F3</f>
        <v>0</v>
      </c>
    </row>
    <row r="4" spans="1:9">
      <c r="A4" t="s">
        <v>179</v>
      </c>
      <c r="B4">
        <v>1</v>
      </c>
      <c r="C4">
        <v>1</v>
      </c>
      <c r="D4">
        <v>1</v>
      </c>
      <c r="E4">
        <v>1</v>
      </c>
      <c r="F4" cm="1">
        <f t="array" ref="F4">_xlfn.XLOOKUP(A4,'Station_Throughput'!$A:$A,'Station_Throughput'!$C:$C,0)</f>
        <v>0</v>
      </c>
      <c r="G4" cm="1">
        <f t="array" ref="G4">VALUE(SUBSTITUTE(_xlfn.XLOOKUP(A4,'Station_Throughput'!$A:$A,'Station_Throughput'!$D:$D,0),"+",""))</f>
        <v>0</v>
      </c>
      <c r="H4">
        <f>B4 * (1 + C4*A4) * D4 * E4 * F4</f>
        <v>0</v>
      </c>
    </row>
    <row r="5" spans="1:9">
      <c r="A5" t="s">
        <v>180</v>
      </c>
      <c r="B5">
        <v>1</v>
      </c>
      <c r="C5">
        <v>1</v>
      </c>
      <c r="D5">
        <v>1</v>
      </c>
      <c r="E5">
        <v>1</v>
      </c>
      <c r="F5" cm="1">
        <f t="array" ref="F5">_xlfn.XLOOKUP(A5,'Station_Throughput'!$A:$A,'Station_Throughput'!$C:$C,0)</f>
        <v>0</v>
      </c>
      <c r="G5" cm="1">
        <f t="array" ref="G5">VALUE(SUBSTITUTE(_xlfn.XLOOKUP(A5,'Station_Throughput'!$A:$A,'Station_Throughput'!$D:$D,0),"+",""))</f>
        <v>0</v>
      </c>
      <c r="H5">
        <f>B5 * (1 + C5*A5) * D5 * E5 * F5</f>
        <v>0</v>
      </c>
    </row>
    <row r="6" spans="1:9">
      <c r="A6" t="s">
        <v>69</v>
      </c>
      <c r="B6">
        <v>1</v>
      </c>
      <c r="C6">
        <v>1</v>
      </c>
      <c r="D6">
        <v>1</v>
      </c>
      <c r="E6">
        <v>1</v>
      </c>
      <c r="F6" cm="1">
        <f t="array" ref="F6">_xlfn.XLOOKUP(A6,'Station_Throughput'!$A:$A,'Station_Throughput'!$C:$C,0)</f>
        <v>0</v>
      </c>
      <c r="G6" cm="1">
        <f t="array" ref="G6">VALUE(SUBSTITUTE(_xlfn.XLOOKUP(A6,'Station_Throughput'!$A:$A,'Station_Throughput'!$D:$D,0),"+",""))</f>
        <v>0</v>
      </c>
      <c r="H6">
        <f>B6 * (1 + C6*A6) * D6 * E6 * F6</f>
        <v>0</v>
      </c>
    </row>
    <row r="7" spans="1:9">
      <c r="A7" t="s">
        <v>70</v>
      </c>
      <c r="B7">
        <v>1</v>
      </c>
      <c r="C7">
        <v>1</v>
      </c>
      <c r="D7">
        <v>1</v>
      </c>
      <c r="E7">
        <v>1</v>
      </c>
      <c r="F7" cm="1">
        <f t="array" ref="F7">_xlfn.XLOOKUP(A7,'Station_Throughput'!$A:$A,'Station_Throughput'!$C:$C,0)</f>
        <v>0</v>
      </c>
      <c r="G7" cm="1">
        <f t="array" ref="G7">VALUE(SUBSTITUTE(_xlfn.XLOOKUP(A7,'Station_Throughput'!$A:$A,'Station_Throughput'!$D:$D,0),"+",""))</f>
        <v>0</v>
      </c>
      <c r="H7">
        <f>B7 * (1 + C7*A7) * D7 * E7 * F7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Core_Loop</vt:lpstr>
      <vt:lpstr>Structures_Catalog</vt:lpstr>
      <vt:lpstr>Tiers_Upgrades</vt:lpstr>
      <vt:lpstr>HP_Repair</vt:lpstr>
      <vt:lpstr>Placement_Pathing</vt:lpstr>
      <vt:lpstr>Station_Throughput</vt:lpstr>
      <vt:lpstr>Visual_Progress</vt:lpstr>
      <vt:lpstr>Hooks</vt:lpstr>
      <vt:lpstr>Tuning_Defaults</vt:lpstr>
      <vt:lpstr>External_Links</vt:lpstr>
      <vt:lpstr>Computed_Metrics</vt:lpstr>
      <vt:lpstr>Build_Planner</vt:lpstr>
      <vt:lpstr>Repair_Budget</vt:lpstr>
      <vt:lpstr>Station_Dashboard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2025-11-01T03:22:11Z</dcterms:created>
  <dcterms:modified xsi:type="dcterms:W3CDTF">2025-11-01T03:22:11Z</dcterms:modified>
</cp:coreProperties>
</file>