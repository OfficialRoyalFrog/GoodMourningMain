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ore_Loop" sheetId="2" r:id="rId2"/>
    <sheet name="Shard_Generation" sheetId="3" r:id="rId3"/>
    <sheet name="Room_Taxonomy" sheetId="4" r:id="rId4"/>
    <sheet name="Collapse_Extraction" sheetId="5" r:id="rId5"/>
    <sheet name="Drops" sheetId="6" r:id="rId6"/>
    <sheet name="Risk_Modifiers" sheetId="7" r:id="rId7"/>
    <sheet name="Companion_Passives" sheetId="8" r:id="rId8"/>
    <sheet name="Hooks" sheetId="9" r:id="rId9"/>
    <sheet name="Tuning_Defaults" sheetId="10" r:id="rId10"/>
    <sheet name="Resource_Summary" sheetId="11" r:id="rId11"/>
    <sheet name="External_Links" sheetId="12" r:id="rId12"/>
    <sheet name="Computed_Metrics" sheetId="13" r:id="rId13"/>
    <sheet name="Room_Weights" sheetId="14" r:id="rId14"/>
    <sheet name="Run_Budget" sheetId="15" r:id="rId15"/>
    <sheet name="Alchemy_Value" sheetId="16" r:id="rId16"/>
    <sheet name="Alchemy_Calc" sheetId="17" r:id="rId17"/>
    <sheet name="Data_Biomes" sheetId="18" r:id="rId18"/>
    <sheet name="Biome_Profile" sheetId="19" r:id="rId19"/>
    <sheet name="Weight_Editor" sheetId="20" r:id="rId20"/>
    <sheet name="Risk_Inputs" sheetId="21" r:id="rId21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<sst xmlns="http://schemas.openxmlformats.org/spreadsheetml/2006/main" count="582" uniqueCount="414">
  <si>
    <t>Field</t>
  </si>
  <si>
    <t>Description</t>
  </si>
  <si>
    <t>System Name</t>
  </si>
  <si>
    <t>Tagline</t>
  </si>
  <si>
    <t>Purpose</t>
  </si>
  <si>
    <t>One‑line Summary</t>
  </si>
  <si>
    <t>Core Loop</t>
  </si>
  <si>
    <t>Key Systems Touched</t>
  </si>
  <si>
    <t>Out of Scope (v1)</t>
  </si>
  <si>
    <t>Success Criteria</t>
  </si>
  <si>
    <t>Author</t>
  </si>
  <si>
    <t>Version</t>
  </si>
  <si>
    <t>Last Updated</t>
  </si>
  <si>
    <t>Adventure / Shards (Dungeon) System</t>
  </si>
  <si>
    <t>Dive into fading memories: fight, rescue, brew on the run, and get out before it collapses.</t>
  </si>
  <si>
    <t>Provide high-agency runs that convert care at base into risk/reward exploration, feeding Relics, Potions, and Charms.</t>
  </si>
  <si>
    <t>Enter procedurally rolled Shards of the past with a companion ghost, clear rooms, craft on the fly, and extract before collapse.</t>
  </si>
  <si>
    <t>Gate (Memento) → Select Loadout/Companion → Roll Shard Map → Run Rooms → Loot/Craft/Rescue → Boss → Extract → Fallout</t>
  </si>
  <si>
    <t>Mementos, Essence, Remains, Relic Fragments, Potions/Alchemy Rooms, Companion Temperaments, DropTables, Requests</t>
  </si>
  <si>
    <t>Branching story rooms, meta storylines inside dungeons, complex platforming.</t>
  </si>
  <si>
    <t>• Runs feel distinct but readable • Risk increases over time • Bosses pay out • Companion passives matter • Extraction tension is real</t>
  </si>
  <si>
    <t>Brandon (Caretaker Designer)</t>
  </si>
  <si>
    <t>1.0</t>
  </si>
  <si>
    <t>2025-11-01 02:56 UTC</t>
  </si>
  <si>
    <t>Phase</t>
  </si>
  <si>
    <t>Name</t>
  </si>
  <si>
    <t>What Happens</t>
  </si>
  <si>
    <t>Rules</t>
  </si>
  <si>
    <t>UX Cues</t>
  </si>
  <si>
    <t>Open Gate (Memento)</t>
  </si>
  <si>
    <t>Loadout &amp; Companion</t>
  </si>
  <si>
    <t>Run Rooms</t>
  </si>
  <si>
    <t>On-Run Craft</t>
  </si>
  <si>
    <t>Boss &amp; Extraction</t>
  </si>
  <si>
    <t>Return &amp; Fallout</t>
  </si>
  <si>
    <t>Consume 1 Memento to seed a Shard map with a daily RNG.</t>
  </si>
  <si>
    <t>Pick 2–3 potions, select a companion ghost, equip 1 charm (caretaker).</t>
  </si>
  <si>
    <t>Proceed room-by-room; clear objectives to open doors.</t>
  </si>
  <si>
    <t>Alchemy Rooms allow brewing with in-room nodes; mishap bias +10%.</t>
  </si>
  <si>
    <t>Defeat boss; rare fragment payout; extraction node opens.</t>
  </si>
  <si>
    <t>Convert loot → base economy; apply residual corruption (optional), companion mood changes.</t>
  </si>
  <si>
    <t>Locks biome/theme, modifier seed, mishap bias.</t>
  </si>
  <si>
    <t>Companion passive based on Temperament + Bond.</t>
  </si>
  <si>
    <t>Room taxonomy/weights roll per seed; collapse timer ticks.</t>
  </si>
  <si>
    <t>Room spawns 2–4 herb nodes + 1–2 Ecto + 0–1 Remains.</t>
  </si>
  <si>
    <t>Option to linger for more loot increases collapse risk.</t>
  </si>
  <si>
    <t>Requests can spawn based on run choices.</t>
  </si>
  <si>
    <t>Gate UI → Biome card + warnings.</t>
  </si>
  <si>
    <t>Prep panel shows passive + synergy hints.</t>
  </si>
  <si>
    <t>Minimap, room icons, timer bar.</t>
  </si>
  <si>
    <t>Brew station with short timer and risk.</t>
  </si>
  <si>
    <t>Post-boss fork: Extract or Continue.</t>
  </si>
  <si>
    <t>Loot cards; companion dialogue; day summary.</t>
  </si>
  <si>
    <t>Aspect</t>
  </si>
  <si>
    <t>Seed Model</t>
  </si>
  <si>
    <t>Map Size</t>
  </si>
  <si>
    <t>Graph</t>
  </si>
  <si>
    <t>Room Roll</t>
  </si>
  <si>
    <t>Biome Mods</t>
  </si>
  <si>
    <t>Collapse Timer</t>
  </si>
  <si>
    <t>Daily seed + per-run offset; biome determines base weights and tileset.</t>
  </si>
  <si>
    <t>Small (6–8 rooms), Medium (9–12), Large (13–16); locked by upgrade or story.</t>
  </si>
  <si>
    <t>Linear branches w/ loops; guaranteed Start, Mid-Elite, Alchemy (20–40% chance), Boss, 0–2 Chests.</t>
  </si>
  <si>
    <t>Weighted by Taxonomy table; pity counters for missing key rooms (Chest/Alchemy/Rescue).</t>
  </si>
  <si>
    <t>Withered Parish (balanced), Dream Trenches (more Alchemy, more mishaps), Lantern Isles (fewer elites, more traps).</t>
  </si>
  <si>
    <t>Starts at T0; increases per room/loot; kills on time-out; see Collapse sheet.</t>
  </si>
  <si>
    <t>RoomType</t>
  </si>
  <si>
    <t>Notes</t>
  </si>
  <si>
    <t>COMBAT</t>
  </si>
  <si>
    <t>CHEST</t>
  </si>
  <si>
    <t>ALCHEMY</t>
  </si>
  <si>
    <t>RESCUE</t>
  </si>
  <si>
    <t>ELITE</t>
  </si>
  <si>
    <t>BOSS</t>
  </si>
  <si>
    <t>EVENT (opt)</t>
  </si>
  <si>
    <t>Fight room; clear all to open doors.</t>
  </si>
  <si>
    <t>Loot chest; puzzle/lock optional.</t>
  </si>
  <si>
    <t>On-run brewing; nodes spawn in-room.</t>
  </si>
  <si>
    <t>Free trapped soul; choose Bind/Release/Harvest.</t>
  </si>
  <si>
    <t>Elite enemy; harder fight; better drops.</t>
  </si>
  <si>
    <t>End fight; opens extraction and big loot.</t>
  </si>
  <si>
    <t>Flavor or risk/reward room.</t>
  </si>
  <si>
    <t>Base run content; chance for small drops.</t>
  </si>
  <si>
    <t>Tokens, Potions, Seeds, SO-rarity items.</t>
  </si>
  <si>
    <t>Shorter brew time; +10% mishap bias.</t>
  </si>
  <si>
    <t>Relic fragments chance; triggers moral choice.</t>
  </si>
  <si>
    <t>Higher Relic Fragment chance.</t>
  </si>
  <si>
    <t>1–3 unique Relic Fragments; guaranteed.</t>
  </si>
  <si>
    <t>Pick one of two options; small buffs/penalties.</t>
  </si>
  <si>
    <t>Rule</t>
  </si>
  <si>
    <t>Timer Start</t>
  </si>
  <si>
    <t>Per-Room Cost</t>
  </si>
  <si>
    <t>Loot Drag</t>
  </si>
  <si>
    <t>Mishap Overhead</t>
  </si>
  <si>
    <t>Extension (rare)</t>
  </si>
  <si>
    <t>Extraction Rules</t>
  </si>
  <si>
    <t>Fail Condition</t>
  </si>
  <si>
    <t>120 sec (Small), 180 sec (Med), 240 sec (Large).</t>
  </si>
  <si>
    <t>+15/20/25 sec (combat rooms); +10 sec (non-combat).</t>
  </si>
  <si>
    <t>+3 sec per chest opened; +2 sec per potion brewed; +5 sec per rescue.</t>
  </si>
  <si>
    <t>+5 sec per mishap effect.</t>
  </si>
  <si>
    <t>Event room can add +30 sec once.</t>
  </si>
  <si>
    <t>Post-boss: Extraction node opens; can continue for risk/reward; timer persists.</t>
  </si>
  <si>
    <t>If timer hits 0: Forced extraction with drop-loss penalty (e.g., −30% Remains/Fragments).</t>
  </si>
  <si>
    <t>Drop</t>
  </si>
  <si>
    <t>Where/How</t>
  </si>
  <si>
    <t>Essence</t>
  </si>
  <si>
    <t>Remains</t>
  </si>
  <si>
    <t>Relic Fragments</t>
  </si>
  <si>
    <t>Mementos (Trickle)</t>
  </si>
  <si>
    <t>Herbs (On-Run)</t>
  </si>
  <si>
    <t>Potions (Pickup)</t>
  </si>
  <si>
    <t>All rooms; scales with run depth and harmony.</t>
  </si>
  <si>
    <t>Combat/Elite/Boss; scales with difficulty.</t>
  </si>
  <si>
    <t>Elite/Boss (guaranteed on boss).</t>
  </si>
  <si>
    <t>Milestone events or perfect rooms.</t>
  </si>
  <si>
    <t>Alchemy Rooms and herb nodes; biome-specific.</t>
  </si>
  <si>
    <t>Chests/Events.</t>
  </si>
  <si>
    <t>Base energy for rituals and crafting.</t>
  </si>
  <si>
    <t>Ritual fuel/catalyst; potion catalyst.</t>
  </si>
  <si>
    <t>Craft into Charms; late-game build driver.</t>
  </si>
  <si>
    <t>Encourage care→explore loop; small chance only.</t>
  </si>
  <si>
    <t>Feeds Potions mid-run; ties Garden to dungeons.</t>
  </si>
  <si>
    <t>Emergency heals/utility; rarity-weighted.</t>
  </si>
  <si>
    <t>Modifier</t>
  </si>
  <si>
    <t>Effect</t>
  </si>
  <si>
    <t>On-Run Mishap Bias</t>
  </si>
  <si>
    <t>Hard Mode</t>
  </si>
  <si>
    <t>Cursed Biome</t>
  </si>
  <si>
    <t>Companion Unhappy</t>
  </si>
  <si>
    <t>Boss Enrage</t>
  </si>
  <si>
    <t>+10% mishap chance in Alchemy Rooms.</t>
  </si>
  <si>
    <t>+Elite frequency, −Chest frequency, −Timer start.</t>
  </si>
  <si>
    <t>+Rot rooms; −healing effectiveness; +Remains yield.</t>
  </si>
  <si>
    <t>Random prank/mood events; −Fit on tasks; small mishaps.</t>
  </si>
  <si>
    <t>Boss gains a new pattern if timer below 30 sec.</t>
  </si>
  <si>
    <t>Temperament (Passive)</t>
  </si>
  <si>
    <t>Benefit</t>
  </si>
  <si>
    <t>Quirk / Tradeoff</t>
  </si>
  <si>
    <t>Mournful</t>
  </si>
  <si>
    <t>Trickster</t>
  </si>
  <si>
    <t>Spiteful</t>
  </si>
  <si>
    <t>Cold</t>
  </si>
  <si>
    <t>Fanatic</t>
  </si>
  <si>
    <t>Lonely</t>
  </si>
  <si>
    <t>Gloomy</t>
  </si>
  <si>
    <t>Bright</t>
  </si>
  <si>
    <t>Anxious</t>
  </si>
  <si>
    <t>Stoic</t>
  </si>
  <si>
    <t>+Small regen aura (1hp/5s)</t>
  </si>
  <si>
    <t>+Chance to disarm trap on entry</t>
  </si>
  <si>
    <t>+10% damage below 30% HP</t>
  </si>
  <si>
    <t>+5% damage resist when standing still</t>
  </si>
  <si>
    <t>+10% damage in boss rooms</t>
  </si>
  <si>
    <t>+Move speed when near player</t>
  </si>
  <si>
    <t>−Mishap severity by 10%</t>
  </si>
  <si>
    <t>+5% Essence drop multiplier</t>
  </si>
  <si>
    <t>+Elite drop +5% when on task</t>
  </si>
  <si>
    <t>Negate first hit every 90s</t>
  </si>
  <si>
    <t>−10% collapse drag on rescues times (less emotional labor).</t>
  </si>
  <si>
    <t>Random prank: low chance to misplace a chest item (fun risk).</t>
  </si>
  <si>
    <t>Small chance to break environmental hazard helping you.</t>
  </si>
  <si>
    <t>Immune to fear traps; ignores hallucination rooms.</t>
  </si>
  <si>
    <t>+2 Grace on boss kill (once/run).</t>
  </si>
  <si>
    <t>Bond gain doubles if kept close entire run.</t>
  </si>
  <si>
    <t>Immune to despair events.</t>
  </si>
  <si>
    <t>−Flicker gain for caretaker while nearby.</t>
  </si>
  <si>
    <t>Small panic aura if idle too long (spawns 1 weak add).</t>
  </si>
  <si>
    <t>−5% collapse drag from loot interactions.</t>
  </si>
  <si>
    <t>Hook ID</t>
  </si>
  <si>
    <t>Context / Feature</t>
  </si>
  <si>
    <t>Unity Component / Script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</si>
  <si>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</si>
  <si>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</si>
  <si>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</si>
  <si>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</si>
  <si>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</si>
  <si>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</si>
  <si>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HK_ProcGen</t>
  </si>
  <si>
    <t>HK_Encounter</t>
  </si>
  <si>
    <t>HK_DropTable</t>
  </si>
  <si>
    <t>HK_CollapseClock</t>
  </si>
  <si>
    <t>HK_AlchemyRoom</t>
  </si>
  <si>
    <t>HK_Companion</t>
  </si>
  <si>
    <t>Shard layout &amp; room rolls</t>
  </si>
  <si>
    <t>Room driver &amp; objective</t>
  </si>
  <si>
    <t>Per-biome/room drops</t>
  </si>
  <si>
    <t>Collapse/extraction timer</t>
  </si>
  <si>
    <t>On-run brew station</t>
  </si>
  <si>
    <t>Follower assist logic</t>
  </si>
  <si>
    <t>KD.Adventure.ProcGen</t>
  </si>
  <si>
    <t>KD.Adventure.Encounter</t>
  </si>
  <si>
    <t>KD.Adventure.DropTable</t>
  </si>
  <si>
    <t>KD.Adventure.CollapseClock</t>
  </si>
  <si>
    <t>KD.Adventure.AlchemyRoom</t>
  </si>
  <si>
    <t>KD.Adventure.Companion</t>
  </si>
  <si>
    <t>seed, roomWeights{}, pity{}, size</t>
  </si>
  <si>
    <t>typeId, objectives[], lootHooks</t>
  </si>
  <si>
    <t>weights{}, pityCounters{}</t>
  </si>
  <si>
    <t>timeStart, dragRules{}, paused</t>
  </si>
  <si>
    <t>nodes[], mishapBias</t>
  </si>
  <si>
    <t>temperamentId, bond, passives{}</t>
  </si>
  <si>
    <t>OnSeed</t>
  </si>
  <si>
    <t>OnEnter, OnClear</t>
  </si>
  <si>
    <t>OnEnemyDefeated, OnChestOpen</t>
  </si>
  <si>
    <t>OnTick, OnPause, OnZero</t>
  </si>
  <si>
    <t>OnRoomEnter, OnBrewStart/Finish</t>
  </si>
  <si>
    <t>OnRoomEnter, OnCombatStart</t>
  </si>
  <si>
    <t>Gate open</t>
  </si>
  <si>
    <t>Room enter/exit</t>
  </si>
  <si>
    <t>Kills/Chest</t>
  </si>
  <si>
    <t>Room actions; pausing events</t>
  </si>
  <si>
    <t>Room enter; brew</t>
  </si>
  <si>
    <t>Player proximity, combat</t>
  </si>
  <si>
    <t>Emit: MapGenerated</t>
  </si>
  <si>
    <t>Emit: Cleared, Loot</t>
  </si>
  <si>
    <t>Emit: SpawnDrop</t>
  </si>
  <si>
    <t>Emit: TimerUI</t>
  </si>
  <si>
    <t>Emit: PotionSpawned</t>
  </si>
  <si>
    <t>Emit: PassiveBark</t>
  </si>
  <si>
    <t>—</t>
  </si>
  <si>
    <t>PF_Room_*</t>
  </si>
  <si>
    <t>SO_DropTables</t>
  </si>
  <si>
    <t>UI_Timer, SFX_Tick</t>
  </si>
  <si>
    <t>PF_AlchemyRoom</t>
  </si>
  <si>
    <t>PF_Companion_*</t>
  </si>
  <si>
    <t>Deterministic per seed + offset.</t>
  </si>
  <si>
    <t>Controls doors &amp; UI.</t>
  </si>
  <si>
    <t>Handles Essence/Remains/Fragments/Herbs.</t>
  </si>
  <si>
    <t>Tracks overheads and fail penalty.</t>
  </si>
  <si>
    <t>Shorter brew + mishap bias.</t>
  </si>
  <si>
    <t>Applies passives/quirks.</t>
  </si>
  <si>
    <t>Parameter</t>
  </si>
  <si>
    <t>Default</t>
  </si>
  <si>
    <t>Min</t>
  </si>
  <si>
    <t>Max</t>
  </si>
  <si>
    <t>timer_start_small</t>
  </si>
  <si>
    <t>timer_start_medium</t>
  </si>
  <si>
    <t>timer_start_large</t>
  </si>
  <si>
    <t>drag_per_combat_room</t>
  </si>
  <si>
    <t>drag_per_noncombat_room</t>
  </si>
  <si>
    <t>drag_per_chest</t>
  </si>
  <si>
    <t>drag_per_brew</t>
  </si>
  <si>
    <t>drag_per_rescue</t>
  </si>
  <si>
    <t>mishap_bias_alchemy</t>
  </si>
  <si>
    <t>elite_weight</t>
  </si>
  <si>
    <t>chest_weight</t>
  </si>
  <si>
    <t>alchemy_weight</t>
  </si>
  <si>
    <t>rescue_weight</t>
  </si>
  <si>
    <t>Initial time for Small maps</t>
  </si>
  <si>
    <t>Initial time for Medium maps</t>
  </si>
  <si>
    <t>Initial time for Large maps</t>
  </si>
  <si>
    <t>Time overhead per combat room</t>
  </si>
  <si>
    <t>Time overhead per non-combat room</t>
  </si>
  <si>
    <t>Time drag per chest open</t>
  </si>
  <si>
    <t>Time drag per potion brewed (on-run)</t>
  </si>
  <si>
    <t>Time drag per rescue</t>
  </si>
  <si>
    <t>Additional mishap chance in Alchemy Rooms</t>
  </si>
  <si>
    <t>Relative frequency for Elite rooms</t>
  </si>
  <si>
    <t>Relative frequency for Chests</t>
  </si>
  <si>
    <t>Relative frequency for Alchemy Rooms</t>
  </si>
  <si>
    <t>Relative frequency for Rescue Rooms</t>
  </si>
  <si>
    <t>Resource</t>
  </si>
  <si>
    <t>Acquired From</t>
  </si>
  <si>
    <t>Used For</t>
  </si>
  <si>
    <t>Mementos</t>
  </si>
  <si>
    <t>Herbs &amp; Potions</t>
  </si>
  <si>
    <t>Keys to open Shards; consumed on entry.</t>
  </si>
  <si>
    <t>Primary drop across rooms; scales with depth.</t>
  </si>
  <si>
    <t>Drop from elite/boss kills.</t>
  </si>
  <si>
    <t>Drop from elites/bosses (guaranteed on boss).</t>
  </si>
  <si>
    <t>Found/brewed in Alchemy Rooms.</t>
  </si>
  <si>
    <t>Base harmony &amp; Release rewards.</t>
  </si>
  <si>
    <t>Combat &amp; clear bonuses.</t>
  </si>
  <si>
    <t>Combat success.</t>
  </si>
  <si>
    <t>Encounter success.</t>
  </si>
  <si>
    <t>Room-specific interactions.</t>
  </si>
  <si>
    <t>Gate runs; pace exploration.</t>
  </si>
  <si>
    <t>Fuel for rituals/potions; upgrade currency.</t>
  </si>
  <si>
    <t>Ritual fuel/catalyst.</t>
  </si>
  <si>
    <t>Charms crafting via Relic Forge.</t>
  </si>
  <si>
    <t>Mid-run sustain; utility choices.</t>
  </si>
  <si>
    <t>LinkKey</t>
  </si>
  <si>
    <t>Excel_Formula</t>
  </si>
  <si>
    <t>Essence_Token_Value</t>
  </si>
  <si>
    <t>Remains_Token_Value</t>
  </si>
  <si>
    <t>Token_Token_Value</t>
  </si>
  <si>
    <t>Calmleaf_BaseValue_From_Resources</t>
  </si>
  <si>
    <t>Joyblossom_BaseValue_From_Resources</t>
  </si>
  <si>
    <t>Wardstem_BaseValue_From_Resources</t>
  </si>
  <si>
    <t>Swiftroot_BaseValue_From_Resources</t>
  </si>
  <si>
    <t>Token value of 1 Essence</t>
  </si>
  <si>
    <t>Token value of 1 Remain</t>
  </si>
  <si>
    <t>Face value per Token (default 1)</t>
  </si>
  <si>
    <t>Face value per Token (default 1 if missing)</t>
  </si>
  <si>
    <t>Calmleaf proxy via Whisperbloom Flower value</t>
  </si>
  <si>
    <t>Joyblossom proxy via Mirthpetal bundle value</t>
  </si>
  <si>
    <t>Wardstem proxy via Griefroot Thorns value</t>
  </si>
  <si>
    <t>Swiftroot proxy via Lament Lily nectar value</t>
  </si>
  <si>
    <t>Metric</t>
  </si>
  <si>
    <t>Formula (Excel)</t>
  </si>
  <si>
    <t>Var1</t>
  </si>
  <si>
    <t>Var2</t>
  </si>
  <si>
    <t>Var3</t>
  </si>
  <si>
    <t>Var4</t>
  </si>
  <si>
    <t>Var5</t>
  </si>
  <si>
    <t>Var6</t>
  </si>
  <si>
    <t>Expected Essence / Run</t>
  </si>
  <si>
    <t>Expected Remains / Run</t>
  </si>
  <si>
    <t>Expected Fragments / Run</t>
  </si>
  <si>
    <t>Timer Budget (sec)</t>
  </si>
  <si>
    <t>Failure Risk (drag)</t>
  </si>
  <si>
    <t>Tokenized Value / Run</t>
  </si>
  <si>
    <t>Rooms</t>
  </si>
  <si>
    <t>Elites</t>
  </si>
  <si>
    <t>TimerStart</t>
  </si>
  <si>
    <t>TimerBudget</t>
  </si>
  <si>
    <t>EssenceRun</t>
  </si>
  <si>
    <t>EssencePerRoom</t>
  </si>
  <si>
    <t>RemainsPerElite</t>
  </si>
  <si>
    <t>FragDropRate</t>
  </si>
  <si>
    <t>TimerSpent</t>
  </si>
  <si>
    <t>RemainsRun</t>
  </si>
  <si>
    <t>DepthMult</t>
  </si>
  <si>
    <t>Bosses</t>
  </si>
  <si>
    <t>Chests</t>
  </si>
  <si>
    <t>TokensRun</t>
  </si>
  <si>
    <t>RemainsPerBoss</t>
  </si>
  <si>
    <t>AVG_FragmentsPerBoss</t>
  </si>
  <si>
    <t>Brews</t>
  </si>
  <si>
    <t>Rescues</t>
  </si>
  <si>
    <t>Biome</t>
  </si>
  <si>
    <t>EVENT</t>
  </si>
  <si>
    <t>Withered Parish</t>
  </si>
  <si>
    <t>Dream Trenches</t>
  </si>
  <si>
    <t>Lantern Isles</t>
  </si>
  <si>
    <t>Key</t>
  </si>
  <si>
    <t>Value</t>
  </si>
  <si>
    <t>CombatRooms</t>
  </si>
  <si>
    <t>NonCombatRooms</t>
  </si>
  <si>
    <t>Mishaps</t>
  </si>
  <si>
    <t>TimerBudget (sec)</t>
  </si>
  <si>
    <t>TimerSpent (sec)</t>
  </si>
  <si>
    <t>Fail (1=yes)</t>
  </si>
  <si>
    <t>Pick size: Small=120, Med=180, Large=240</t>
  </si>
  <si>
    <t>Rooms that add drag_per_combat_room</t>
  </si>
  <si>
    <t>Rooms that add drag_per_noncombat_room</t>
  </si>
  <si>
    <t>Chests opened; adds drag_per_chest each</t>
  </si>
  <si>
    <t>Potions brewed; adds drag_per_brew each (on-run)</t>
  </si>
  <si>
    <t>Souls rescued; adds drag_per_rescue each</t>
  </si>
  <si>
    <t>Mishap overhead; +5s each (baseline)</t>
  </si>
  <si>
    <t>Rough sum of actual time you took (for comparison)</t>
  </si>
  <si>
    <t>HerbNodes_PerRoom</t>
  </si>
  <si>
    <t>EctoplasmNodes_PerRoom</t>
  </si>
  <si>
    <t>RemainsNodes_PerRoom</t>
  </si>
  <si>
    <t>Rooms_With_Alchemy</t>
  </si>
  <si>
    <t>Avg herb nodes in an Alchemy room (2–4 typical)</t>
  </si>
  <si>
    <t>Avg ectoplasm nodes in-room (globs)</t>
  </si>
  <si>
    <t>Avg remains urn chance/room (0–1)</t>
  </si>
  <si>
    <t>How many Alchemy rooms per run (expected)</t>
  </si>
  <si>
    <t>AvgCommonHerbValue_Tokens</t>
  </si>
  <si>
    <t>Ectoplasm_Value_Tokens</t>
  </si>
  <si>
    <t>Remains_Value_Tokens</t>
  </si>
  <si>
    <t>ExpectedBrewValue_PerRoom</t>
  </si>
  <si>
    <t>ExpectedBrewValue_PerRun</t>
  </si>
  <si>
    <t>Mean of four herb proxies</t>
  </si>
  <si>
    <t>Proxy: use Essence token value for ectoplasm (adjust if you add token_value_per_ectoplasm)</t>
  </si>
  <si>
    <t>Remains token value from Globals</t>
  </si>
  <si>
    <t>Room value = HerbNodes*AvgHerb + Ecto*EctoValue + Remains*RemainsValue</t>
  </si>
  <si>
    <t>Run value = per-room * number of Alchemy rooms</t>
  </si>
  <si>
    <t>Biome Profile Dashboard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</si>
  <si>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</si>
  <si>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</si>
  <si>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</si>
  <si>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</si>
  <si>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</si>
  <si>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</si>
  <si>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</si>
  <si>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</si>
  <si>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</si>
  <si>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Select Biome:</t>
  </si>
  <si>
    <t>Total Rooms</t>
  </si>
  <si>
    <t>Essence/Combat Room</t>
  </si>
  <si>
    <t>Remains per Elite</t>
  </si>
  <si>
    <t>Tokens per Chest</t>
  </si>
  <si>
    <t>Depth Multiplier</t>
  </si>
  <si>
    <t>Room Type</t>
  </si>
  <si>
    <t>Biome Weight</t>
  </si>
  <si>
    <t>Sum Weights</t>
  </si>
  <si>
    <t>Normalized</t>
  </si>
  <si>
    <t>Expected Count</t>
  </si>
  <si>
    <t>Value Component</t>
  </si>
  <si>
    <t>Essence Value</t>
  </si>
  <si>
    <t>Remains Value</t>
  </si>
  <si>
    <t>Chest Tokens</t>
  </si>
  <si>
    <t>Alchemy Value</t>
  </si>
  <si>
    <t>Total Tokenized Value / Run</t>
  </si>
  <si>
    <t>Tokens</t>
  </si>
  <si>
    <t>Note: Edit these weights directly; Dashboard reads from Weight_Editor.</t>
  </si>
  <si>
    <t>HardMode</t>
  </si>
  <si>
    <t>CursedBiome</t>
  </si>
  <si>
    <t>EliteFreqMult</t>
  </si>
  <si>
    <t>ChestFreqMult</t>
  </si>
  <si>
    <t>TimerStartMult</t>
  </si>
  <si>
    <t>MishapBiasAdd</t>
  </si>
  <si>
    <t>0=Off, 1=On (increases difficulty)</t>
  </si>
  <si>
    <t>0=Off, 1=On (adds corruption flavor)</t>
  </si>
  <si>
    <t>Multiplier for Elite room weight (HardMode)</t>
  </si>
  <si>
    <t>Multiplier for Chest room weight (HardMode)</t>
  </si>
  <si>
    <t>Multiplier for TimerStart (HardMode)</t>
  </si>
  <si>
    <t>Adds to Alchemy mishap bias (base 0.10 + CursedBiome 0.05)</t>
  </si>
  <si>
    <t>HardMode &amp; Cursed Multipliers</t>
  </si>
  <si>
    <t>SumAdj</t>
  </si>
  <si>
    <t>Note: HardMode TimerStartMult applies in Run_Budget (adjust there).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</si>
</sst>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8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1.7109375" customWidth="1"/>
    <col min="3" max="3" width="84.7109375" customWidth="1"/>
    <col min="4" max="4" width="60.7109375" customWidth="1"/>
    <col min="5" max="5" width="46.7109375" customWidth="1"/>
  </cols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>
        <v>1</v>
      </c>
      <c r="B2" t="s">
        <v>29</v>
      </c>
      <c r="C2" t="s">
        <v>35</v>
      </c>
      <c r="D2" t="s">
        <v>41</v>
      </c>
      <c r="E2" t="s">
        <v>47</v>
      </c>
    </row>
    <row r="3" spans="1:5">
      <c r="A3">
        <v>2</v>
      </c>
      <c r="B3" t="s">
        <v>30</v>
      </c>
      <c r="C3" t="s">
        <v>36</v>
      </c>
      <c r="D3" t="s">
        <v>42</v>
      </c>
      <c r="E3" t="s">
        <v>48</v>
      </c>
    </row>
    <row r="4" spans="1:5">
      <c r="A4">
        <v>3</v>
      </c>
      <c r="B4" t="s">
        <v>31</v>
      </c>
      <c r="C4" t="s">
        <v>37</v>
      </c>
      <c r="D4" t="s">
        <v>43</v>
      </c>
      <c r="E4" t="s">
        <v>49</v>
      </c>
    </row>
    <row r="5" spans="1:5">
      <c r="A5">
        <v>4</v>
      </c>
      <c r="B5" t="s">
        <v>32</v>
      </c>
      <c r="C5" t="s">
        <v>38</v>
      </c>
      <c r="D5" t="s">
        <v>44</v>
      </c>
      <c r="E5" t="s">
        <v>50</v>
      </c>
    </row>
    <row r="6" spans="1:5">
      <c r="A6">
        <v>5</v>
      </c>
      <c r="B6" t="s">
        <v>33</v>
      </c>
      <c r="C6" t="s">
        <v>39</v>
      </c>
      <c r="D6" t="s">
        <v>45</v>
      </c>
      <c r="E6" t="s">
        <v>51</v>
      </c>
    </row>
    <row r="7" spans="1:5">
      <c r="A7">
        <v>6</v>
      </c>
      <c r="B7" t="s">
        <v>34</v>
      </c>
      <c r="C7" t="s">
        <v>40</v>
      </c>
      <c r="D7" t="s">
        <v>46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84.7109375" customWidth="1"/>
  </cols>
  <sheetData>
    <row r="1" spans="1:2">
      <c r="A1" s="1" t="s">
        <v>53</v>
      </c>
      <c r="B1" s="1" t="s">
        <v>1</v>
      </c>
    </row>
    <row r="2" spans="1:2">
      <c r="A2" t="s">
        <v>54</v>
      </c>
      <c r="B2" t="s">
        <v>60</v>
      </c>
    </row>
    <row r="3" spans="1:2">
      <c r="A3" t="s">
        <v>55</v>
      </c>
      <c r="B3" t="s">
        <v>61</v>
      </c>
    </row>
    <row r="4" spans="1:2">
      <c r="A4" t="s">
        <v>56</v>
      </c>
      <c r="B4" t="s">
        <v>62</v>
      </c>
    </row>
    <row r="5" spans="1:2">
      <c r="A5" t="s">
        <v>57</v>
      </c>
      <c r="B5" t="s">
        <v>63</v>
      </c>
    </row>
    <row r="6" spans="1:2">
      <c r="A6" t="s">
        <v>58</v>
      </c>
      <c r="B6" t="s">
        <v>64</v>
      </c>
    </row>
    <row r="7" spans="1:2">
      <c r="A7" t="s">
        <v>59</v>
      </c>
      <c r="B7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49.7109375" customWidth="1"/>
  </cols>
  <sheetData>
    <row r="1" spans="1:3">
      <c r="A1" s="1" t="s">
        <v>66</v>
      </c>
      <c r="B1" s="1" t="s">
        <v>1</v>
      </c>
      <c r="C1" s="1" t="s">
        <v>67</v>
      </c>
    </row>
    <row r="2" spans="1:3">
      <c r="A2" t="s">
        <v>68</v>
      </c>
      <c r="B2" t="s">
        <v>75</v>
      </c>
      <c r="C2" t="s">
        <v>82</v>
      </c>
    </row>
    <row r="3" spans="1:3">
      <c r="A3" t="s">
        <v>69</v>
      </c>
      <c r="B3" t="s">
        <v>76</v>
      </c>
      <c r="C3" t="s">
        <v>83</v>
      </c>
    </row>
    <row r="4" spans="1:3">
      <c r="A4" t="s">
        <v>70</v>
      </c>
      <c r="B4" t="s">
        <v>77</v>
      </c>
      <c r="C4" t="s">
        <v>84</v>
      </c>
    </row>
    <row r="5" spans="1:3">
      <c r="A5" t="s">
        <v>71</v>
      </c>
      <c r="B5" t="s">
        <v>78</v>
      </c>
      <c r="C5" t="s">
        <v>85</v>
      </c>
    </row>
    <row r="6" spans="1:3">
      <c r="A6" t="s">
        <v>72</v>
      </c>
      <c r="B6" t="s">
        <v>79</v>
      </c>
      <c r="C6" t="s">
        <v>86</v>
      </c>
    </row>
    <row r="7" spans="1:3">
      <c r="A7" t="s">
        <v>73</v>
      </c>
      <c r="B7" t="s">
        <v>80</v>
      </c>
      <c r="C7" t="s">
        <v>87</v>
      </c>
    </row>
    <row r="8" spans="1:3">
      <c r="A8" t="s">
        <v>74</v>
      </c>
      <c r="B8" t="s">
        <v>81</v>
      </c>
      <c r="C8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84.7109375" customWidth="1"/>
  </cols>
  <sheetData>
    <row r="1" spans="1:2">
      <c r="A1" s="1" t="s">
        <v>53</v>
      </c>
      <c r="B1" s="1" t="s">
        <v>89</v>
      </c>
    </row>
    <row r="2" spans="1:2">
      <c r="A2" t="s">
        <v>90</v>
      </c>
      <c r="B2" t="s">
        <v>97</v>
      </c>
    </row>
    <row r="3" spans="1:2">
      <c r="A3" t="s">
        <v>91</v>
      </c>
      <c r="B3" t="s">
        <v>98</v>
      </c>
    </row>
    <row r="4" spans="1:2">
      <c r="A4" t="s">
        <v>92</v>
      </c>
      <c r="B4" t="s">
        <v>99</v>
      </c>
    </row>
    <row r="5" spans="1:2">
      <c r="A5" t="s">
        <v>93</v>
      </c>
      <c r="B5" t="s">
        <v>100</v>
      </c>
    </row>
    <row r="6" spans="1:2">
      <c r="A6" t="s">
        <v>94</v>
      </c>
      <c r="B6" t="s">
        <v>101</v>
      </c>
    </row>
    <row r="7" spans="1:2">
      <c r="A7" t="s">
        <v>95</v>
      </c>
      <c r="B7" t="s">
        <v>102</v>
      </c>
    </row>
    <row r="8" spans="1:2">
      <c r="A8" t="s">
        <v>96</v>
      </c>
      <c r="B8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47.7109375" customWidth="1"/>
    <col min="3" max="3" width="49.7109375" customWidth="1"/>
  </cols>
  <sheetData>
    <row r="1" spans="1:3">
      <c r="A1" s="1" t="s">
        <v>104</v>
      </c>
      <c r="B1" s="1" t="s">
        <v>105</v>
      </c>
      <c r="C1" s="1" t="s">
        <v>4</v>
      </c>
    </row>
    <row r="2" spans="1:3">
      <c r="A2" t="s">
        <v>106</v>
      </c>
      <c r="B2" t="s">
        <v>112</v>
      </c>
      <c r="C2" t="s">
        <v>118</v>
      </c>
    </row>
    <row r="3" spans="1:3">
      <c r="A3" t="s">
        <v>107</v>
      </c>
      <c r="B3" t="s">
        <v>113</v>
      </c>
      <c r="C3" t="s">
        <v>119</v>
      </c>
    </row>
    <row r="4" spans="1:3">
      <c r="A4" t="s">
        <v>108</v>
      </c>
      <c r="B4" t="s">
        <v>114</v>
      </c>
      <c r="C4" t="s">
        <v>120</v>
      </c>
    </row>
    <row r="5" spans="1:3">
      <c r="A5" t="s">
        <v>109</v>
      </c>
      <c r="B5" t="s">
        <v>115</v>
      </c>
      <c r="C5" t="s">
        <v>121</v>
      </c>
    </row>
    <row r="6" spans="1:3">
      <c r="A6" t="s">
        <v>110</v>
      </c>
      <c r="B6" t="s">
        <v>116</v>
      </c>
      <c r="C6" t="s">
        <v>122</v>
      </c>
    </row>
    <row r="7" spans="1:3">
      <c r="A7" t="s">
        <v>111</v>
      </c>
      <c r="B7" t="s">
        <v>117</v>
      </c>
      <c r="C7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57.7109375" customWidth="1"/>
  </cols>
  <sheetData>
    <row r="1" spans="1:2">
      <c r="A1" s="1" t="s">
        <v>124</v>
      </c>
      <c r="B1" s="1" t="s">
        <v>125</v>
      </c>
    </row>
    <row r="2" spans="1:2">
      <c r="A2" t="s">
        <v>126</v>
      </c>
      <c r="B2" t="s">
        <v>131</v>
      </c>
    </row>
    <row r="3" spans="1:2">
      <c r="A3" t="s">
        <v>127</v>
      </c>
      <c r="B3" t="s">
        <v>132</v>
      </c>
    </row>
    <row r="4" spans="1:2">
      <c r="A4" t="s">
        <v>128</v>
      </c>
      <c r="B4" t="s">
        <v>133</v>
      </c>
    </row>
    <row r="5" spans="1:2">
      <c r="A5" t="s">
        <v>129</v>
      </c>
      <c r="B5" t="s">
        <v>134</v>
      </c>
    </row>
    <row r="6" spans="1:2">
      <c r="A6" t="s">
        <v>130</v>
      </c>
      <c r="B6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39.7109375" customWidth="1"/>
    <col min="3" max="3" width="63.7109375" customWidth="1"/>
  </cols>
  <sheetData>
    <row r="1" spans="1:3">
      <c r="A1" s="1" t="s">
        <v>136</v>
      </c>
      <c r="B1" s="1" t="s">
        <v>137</v>
      </c>
      <c r="C1" s="1" t="s">
        <v>138</v>
      </c>
    </row>
    <row r="2" spans="1:3">
      <c r="A2" t="s">
        <v>139</v>
      </c>
      <c r="B2" t="s">
        <v>149</v>
      </c>
      <c r="C2" t="s">
        <v>159</v>
      </c>
    </row>
    <row r="3" spans="1:3">
      <c r="A3" t="s">
        <v>140</v>
      </c>
      <c r="B3" t="s">
        <v>150</v>
      </c>
      <c r="C3" t="s">
        <v>160</v>
      </c>
    </row>
    <row r="4" spans="1:3">
      <c r="A4" t="s">
        <v>141</v>
      </c>
      <c r="B4" t="s">
        <v>151</v>
      </c>
      <c r="C4" t="s">
        <v>161</v>
      </c>
    </row>
    <row r="5" spans="1:3">
      <c r="A5" t="s">
        <v>142</v>
      </c>
      <c r="B5" t="s">
        <v>152</v>
      </c>
      <c r="C5" t="s">
        <v>162</v>
      </c>
    </row>
    <row r="6" spans="1:3">
      <c r="A6" t="s">
        <v>143</v>
      </c>
      <c r="B6" t="s">
        <v>153</v>
      </c>
      <c r="C6" t="s">
        <v>163</v>
      </c>
    </row>
    <row r="7" spans="1:3">
      <c r="A7" t="s">
        <v>144</v>
      </c>
      <c r="B7" t="s">
        <v>154</v>
      </c>
      <c r="C7" t="s">
        <v>164</v>
      </c>
    </row>
    <row r="8" spans="1:3">
      <c r="A8" t="s">
        <v>145</v>
      </c>
      <c r="B8" t="s">
        <v>155</v>
      </c>
      <c r="C8" t="s">
        <v>165</v>
      </c>
    </row>
    <row r="9" spans="1:3">
      <c r="A9" t="s">
        <v>146</v>
      </c>
      <c r="B9" t="s">
        <v>156</v>
      </c>
      <c r="C9" t="s">
        <v>166</v>
      </c>
    </row>
    <row r="10" spans="1:3">
      <c r="A10" t="s">
        <v>147</v>
      </c>
      <c r="B10" t="s">
        <v>157</v>
      </c>
      <c r="C10" t="s">
        <v>167</v>
      </c>
    </row>
    <row r="11" spans="1:3">
      <c r="A11" t="s">
        <v>148</v>
      </c>
      <c r="B11" t="s">
        <v>158</v>
      </c>
      <c r="C11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7.7109375" customWidth="1"/>
    <col min="3" max="3" width="28.7109375" customWidth="1"/>
    <col min="4" max="4" width="35.7109375" customWidth="1"/>
    <col min="5" max="5" width="33.7109375" customWidth="1"/>
    <col min="6" max="6" width="30.7109375" customWidth="1"/>
    <col min="7" max="7" width="23.7109375" customWidth="1"/>
    <col min="8" max="8" width="25.7109375" customWidth="1"/>
    <col min="9" max="9" width="42.7109375" customWidth="1"/>
  </cols>
  <sheetData>
    <row r="1" spans="1:9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 spans="1:9">
      <c r="A2" t="s">
        <v>178</v>
      </c>
      <c r="B2" t="s">
        <v>184</v>
      </c>
      <c r="C2" t="s">
        <v>190</v>
      </c>
      <c r="D2" t="s">
        <v>196</v>
      </c>
      <c r="E2" t="s">
        <v>202</v>
      </c>
      <c r="F2" t="s">
        <v>208</v>
      </c>
      <c r="G2" t="s">
        <v>214</v>
      </c>
      <c r="H2" t="s">
        <v>220</v>
      </c>
      <c r="I2" t="s">
        <v>226</v>
      </c>
    </row>
    <row r="3" spans="1:9">
      <c r="A3" t="s">
        <v>179</v>
      </c>
      <c r="B3" t="s">
        <v>185</v>
      </c>
      <c r="C3" t="s">
        <v>191</v>
      </c>
      <c r="D3" t="s">
        <v>197</v>
      </c>
      <c r="E3" t="s">
        <v>203</v>
      </c>
      <c r="F3" t="s">
        <v>209</v>
      </c>
      <c r="G3" t="s">
        <v>215</v>
      </c>
      <c r="H3" t="s">
        <v>221</v>
      </c>
      <c r="I3" t="s">
        <v>227</v>
      </c>
    </row>
    <row r="4" spans="1:9">
      <c r="A4" t="s">
        <v>180</v>
      </c>
      <c r="B4" t="s">
        <v>186</v>
      </c>
      <c r="C4" t="s">
        <v>192</v>
      </c>
      <c r="D4" t="s">
        <v>198</v>
      </c>
      <c r="E4" t="s">
        <v>204</v>
      </c>
      <c r="F4" t="s">
        <v>210</v>
      </c>
      <c r="G4" t="s">
        <v>216</v>
      </c>
      <c r="H4" t="s">
        <v>222</v>
      </c>
      <c r="I4" t="s">
        <v>228</v>
      </c>
    </row>
    <row r="5" spans="1:9">
      <c r="A5" t="s">
        <v>181</v>
      </c>
      <c r="B5" t="s">
        <v>187</v>
      </c>
      <c r="C5" t="s">
        <v>193</v>
      </c>
      <c r="D5" t="s">
        <v>199</v>
      </c>
      <c r="E5" t="s">
        <v>205</v>
      </c>
      <c r="F5" t="s">
        <v>211</v>
      </c>
      <c r="G5" t="s">
        <v>217</v>
      </c>
      <c r="H5" t="s">
        <v>223</v>
      </c>
      <c r="I5" t="s">
        <v>229</v>
      </c>
    </row>
    <row r="6" spans="1:9">
      <c r="A6" t="s">
        <v>182</v>
      </c>
      <c r="B6" t="s">
        <v>188</v>
      </c>
      <c r="C6" t="s">
        <v>194</v>
      </c>
      <c r="D6" t="s">
        <v>200</v>
      </c>
      <c r="E6" t="s">
        <v>206</v>
      </c>
      <c r="F6" t="s">
        <v>212</v>
      </c>
      <c r="G6" t="s">
        <v>218</v>
      </c>
      <c r="H6" t="s">
        <v>224</v>
      </c>
      <c r="I6" t="s">
        <v>230</v>
      </c>
    </row>
    <row r="7" spans="1:9">
      <c r="A7" t="s">
        <v>183</v>
      </c>
      <c r="B7" t="s">
        <v>189</v>
      </c>
      <c r="C7" t="s">
        <v>195</v>
      </c>
      <c r="D7" t="s">
        <v>201</v>
      </c>
      <c r="E7" t="s">
        <v>207</v>
      </c>
      <c r="F7" t="s">
        <v>213</v>
      </c>
      <c r="G7" t="s">
        <v>219</v>
      </c>
      <c r="H7" t="s">
        <v>225</v>
      </c>
      <c r="I7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5" max="5" width="43.7109375" customWidth="1"/>
  </cols>
  <sheetData>
    <row r="1" spans="1:5">
      <c r="A1" s="1" t="s">
        <v>232</v>
      </c>
      <c r="B1" s="1" t="s">
        <v>233</v>
      </c>
      <c r="C1" s="1" t="s">
        <v>234</v>
      </c>
      <c r="D1" s="1" t="s">
        <v>235</v>
      </c>
      <c r="E1" s="1" t="s">
        <v>67</v>
      </c>
    </row>
    <row r="2" spans="1:5">
      <c r="A2" t="s">
        <v>236</v>
      </c>
      <c r="B2">
        <v>120</v>
      </c>
      <c r="C2">
        <v>60</v>
      </c>
      <c r="D2">
        <v>240</v>
      </c>
      <c r="E2" t="s">
        <v>249</v>
      </c>
    </row>
    <row r="3" spans="1:5">
      <c r="A3" t="s">
        <v>237</v>
      </c>
      <c r="B3">
        <v>180</v>
      </c>
      <c r="C3">
        <v>90</v>
      </c>
      <c r="D3">
        <v>300</v>
      </c>
      <c r="E3" t="s">
        <v>250</v>
      </c>
    </row>
    <row r="4" spans="1:5">
      <c r="A4" t="s">
        <v>238</v>
      </c>
      <c r="B4">
        <v>240</v>
      </c>
      <c r="C4">
        <v>120</v>
      </c>
      <c r="D4">
        <v>360</v>
      </c>
      <c r="E4" t="s">
        <v>251</v>
      </c>
    </row>
    <row r="5" spans="1:5">
      <c r="A5" t="s">
        <v>239</v>
      </c>
      <c r="B5">
        <v>20</v>
      </c>
      <c r="C5">
        <v>10</v>
      </c>
      <c r="D5">
        <v>40</v>
      </c>
      <c r="E5" t="s">
        <v>252</v>
      </c>
    </row>
    <row r="6" spans="1:5">
      <c r="A6" t="s">
        <v>240</v>
      </c>
      <c r="B6">
        <v>10</v>
      </c>
      <c r="C6">
        <v>5</v>
      </c>
      <c r="D6">
        <v>25</v>
      </c>
      <c r="E6" t="s">
        <v>253</v>
      </c>
    </row>
    <row r="7" spans="1:5">
      <c r="A7" t="s">
        <v>241</v>
      </c>
      <c r="B7">
        <v>3</v>
      </c>
      <c r="C7">
        <v>0</v>
      </c>
      <c r="D7">
        <v>10</v>
      </c>
      <c r="E7" t="s">
        <v>254</v>
      </c>
    </row>
    <row r="8" spans="1:5">
      <c r="A8" t="s">
        <v>242</v>
      </c>
      <c r="B8">
        <v>2</v>
      </c>
      <c r="C8">
        <v>0</v>
      </c>
      <c r="D8">
        <v>8</v>
      </c>
      <c r="E8" t="s">
        <v>255</v>
      </c>
    </row>
    <row r="9" spans="1:5">
      <c r="A9" t="s">
        <v>243</v>
      </c>
      <c r="B9">
        <v>5</v>
      </c>
      <c r="C9">
        <v>0</v>
      </c>
      <c r="D9">
        <v>15</v>
      </c>
      <c r="E9" t="s">
        <v>256</v>
      </c>
    </row>
    <row r="10" spans="1:5">
      <c r="A10" t="s">
        <v>244</v>
      </c>
      <c r="B10">
        <v>0.1</v>
      </c>
      <c r="C10">
        <v>0</v>
      </c>
      <c r="D10">
        <v>0.3</v>
      </c>
      <c r="E10" t="s">
        <v>257</v>
      </c>
    </row>
    <row r="11" spans="1:5">
      <c r="A11" t="s">
        <v>245</v>
      </c>
      <c r="B11">
        <v>1</v>
      </c>
      <c r="C11">
        <v>0.5</v>
      </c>
      <c r="D11">
        <v>2</v>
      </c>
      <c r="E11" t="s">
        <v>258</v>
      </c>
    </row>
    <row r="12" spans="1:5">
      <c r="A12" t="s">
        <v>246</v>
      </c>
      <c r="B12">
        <v>1</v>
      </c>
      <c r="C12">
        <v>0.5</v>
      </c>
      <c r="D12">
        <v>2</v>
      </c>
      <c r="E12" t="s">
        <v>259</v>
      </c>
    </row>
    <row r="13" spans="1:5">
      <c r="A13" t="s">
        <v>247</v>
      </c>
      <c r="B13">
        <v>0.8</v>
      </c>
      <c r="C13">
        <v>0.2</v>
      </c>
      <c r="D13">
        <v>1.5</v>
      </c>
      <c r="E13" t="s">
        <v>260</v>
      </c>
    </row>
    <row r="14" spans="1:5">
      <c r="A14" t="s">
        <v>248</v>
      </c>
      <c r="B14">
        <v>0.7</v>
      </c>
      <c r="C14">
        <v>0.2</v>
      </c>
      <c r="D14">
        <v>1.5</v>
      </c>
      <c r="E14" t="s">
        <v>261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7.7109375" customWidth="1"/>
    <col min="3" max="3" width="33.7109375" customWidth="1"/>
    <col min="4" max="4" width="45.7109375" customWidth="1"/>
  </cols>
  <sheetData>
    <row r="1" spans="1:4">
      <c r="A1" s="1" t="s">
        <v>262</v>
      </c>
      <c r="B1" s="1" t="s">
        <v>1</v>
      </c>
      <c r="C1" s="1" t="s">
        <v>263</v>
      </c>
      <c r="D1" s="1" t="s">
        <v>264</v>
      </c>
    </row>
    <row r="2" spans="1:4">
      <c r="A2" t="s">
        <v>265</v>
      </c>
      <c r="B2" t="s">
        <v>267</v>
      </c>
      <c r="C2" t="s">
        <v>272</v>
      </c>
      <c r="D2" t="s">
        <v>277</v>
      </c>
    </row>
    <row r="3" spans="1:4">
      <c r="A3" t="s">
        <v>106</v>
      </c>
      <c r="B3" t="s">
        <v>268</v>
      </c>
      <c r="C3" t="s">
        <v>273</v>
      </c>
      <c r="D3" t="s">
        <v>278</v>
      </c>
    </row>
    <row r="4" spans="1:4">
      <c r="A4" t="s">
        <v>107</v>
      </c>
      <c r="B4" t="s">
        <v>269</v>
      </c>
      <c r="C4" t="s">
        <v>274</v>
      </c>
      <c r="D4" t="s">
        <v>279</v>
      </c>
    </row>
    <row r="5" spans="1:4">
      <c r="A5" t="s">
        <v>108</v>
      </c>
      <c r="B5" t="s">
        <v>270</v>
      </c>
      <c r="C5" t="s">
        <v>275</v>
      </c>
      <c r="D5" t="s">
        <v>280</v>
      </c>
    </row>
    <row r="6" spans="1:4">
      <c r="A6" t="s">
        <v>266</v>
      </c>
      <c r="B6" t="s">
        <v>271</v>
      </c>
      <c r="C6" t="s">
        <v>276</v>
      </c>
      <c r="D6" t="s">
        <v>281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customWidth="1"/>
    <col min="2" max="2" width="18.7109375" customWidth="1"/>
    <col min="3" max="3" width="46.7109375" customWidth="1"/>
  </cols>
  <sheetData>
    <row r="1" spans="1:3">
      <c r="A1" s="1" t="s">
        <v>282</v>
      </c>
      <c r="B1" s="1" t="s">
        <v>283</v>
      </c>
      <c r="C1" s="1" t="s">
        <v>67</v>
      </c>
    </row>
    <row r="2" spans="1:3">
      <c r="A2" t="s">
        <v>284</v>
      </c>
      <c r="B2">
        <v>0</v>
      </c>
      <c r="C2" t="s">
        <v>291</v>
      </c>
    </row>
    <row r="3" spans="1:3">
      <c r="A3" t="s">
        <v>285</v>
      </c>
      <c r="B3">
        <v>0</v>
      </c>
      <c r="C3" t="s">
        <v>292</v>
      </c>
    </row>
    <row r="4" spans="1:3">
      <c r="A4" t="s">
        <v>286</v>
      </c>
      <c r="B4">
        <v>0</v>
      </c>
      <c r="C4" t="s">
        <v>293</v>
      </c>
    </row>
    <row r="5" spans="1:3">
      <c r="A5" t="s">
        <v>284</v>
      </c>
      <c r="B5">
        <v>0</v>
      </c>
      <c r="C5" t="s">
        <v>291</v>
      </c>
    </row>
    <row r="6" spans="1:3">
      <c r="A6" t="s">
        <v>285</v>
      </c>
      <c r="B6">
        <v>0</v>
      </c>
      <c r="C6" t="s">
        <v>292</v>
      </c>
    </row>
    <row r="7" spans="1:3">
      <c r="A7" t="s">
        <v>286</v>
      </c>
      <c r="B7">
        <v>0</v>
      </c>
      <c r="C7" t="s">
        <v>294</v>
      </c>
    </row>
    <row r="8" spans="1:3">
      <c r="A8" t="s">
        <v>287</v>
      </c>
      <c r="B8">
        <v>0</v>
      </c>
      <c r="C8" t="s">
        <v>295</v>
      </c>
    </row>
    <row r="9" spans="1:3">
      <c r="A9" t="s">
        <v>288</v>
      </c>
      <c r="B9">
        <v>0</v>
      </c>
      <c r="C9" t="s">
        <v>296</v>
      </c>
    </row>
    <row r="10" spans="1:3">
      <c r="A10" t="s">
        <v>289</v>
      </c>
      <c r="B10">
        <v>0</v>
      </c>
      <c r="C10" t="s">
        <v>297</v>
      </c>
    </row>
    <row r="11" spans="1:3">
      <c r="A11" t="s">
        <v>290</v>
      </c>
      <c r="B11">
        <v>0</v>
      </c>
      <c r="C11" t="s">
        <v>298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5" width="18.7109375" customWidth="1"/>
    <col min="6" max="6" width="22.7109375" customWidth="1"/>
    <col min="7" max="8" width="18.7109375" customWidth="1"/>
  </cols>
  <sheetData>
    <row r="1" spans="1:8">
      <c r="A1" s="1" t="s">
        <v>299</v>
      </c>
      <c r="B1" s="1" t="s">
        <v>300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</row>
    <row r="2" spans="1:8">
      <c r="A2" t="s">
        <v>307</v>
      </c>
      <c r="B2">
        <v>0</v>
      </c>
      <c r="C2" t="s">
        <v>313</v>
      </c>
      <c r="D2" t="s">
        <v>318</v>
      </c>
      <c r="E2" t="s">
        <v>323</v>
      </c>
    </row>
    <row r="3" spans="1:8">
      <c r="A3" t="s">
        <v>308</v>
      </c>
      <c r="B3">
        <v>0</v>
      </c>
      <c r="C3" t="s">
        <v>314</v>
      </c>
      <c r="D3" t="s">
        <v>319</v>
      </c>
      <c r="E3" t="s">
        <v>324</v>
      </c>
      <c r="F3" t="s">
        <v>327</v>
      </c>
    </row>
    <row r="4" spans="1:8">
      <c r="A4" t="s">
        <v>309</v>
      </c>
      <c r="B4">
        <v>0</v>
      </c>
      <c r="C4" t="s">
        <v>314</v>
      </c>
      <c r="D4" t="s">
        <v>320</v>
      </c>
      <c r="E4" t="s">
        <v>324</v>
      </c>
      <c r="F4" t="s">
        <v>328</v>
      </c>
    </row>
    <row r="5" spans="1:8">
      <c r="A5" t="s">
        <v>310</v>
      </c>
      <c r="B5">
        <v>0</v>
      </c>
      <c r="C5" t="s">
        <v>315</v>
      </c>
      <c r="D5" t="s">
        <v>313</v>
      </c>
      <c r="E5" t="s">
        <v>325</v>
      </c>
      <c r="F5" t="s">
        <v>329</v>
      </c>
      <c r="G5" t="s">
        <v>330</v>
      </c>
    </row>
    <row r="6" spans="1:8">
      <c r="A6" t="s">
        <v>311</v>
      </c>
      <c r="B6">
        <v>0</v>
      </c>
      <c r="C6" t="s">
        <v>316</v>
      </c>
      <c r="D6" t="s">
        <v>321</v>
      </c>
    </row>
    <row r="7" spans="1:8">
      <c r="A7" t="s">
        <v>312</v>
      </c>
      <c r="B7">
        <v>0</v>
      </c>
      <c r="C7" t="s">
        <v>317</v>
      </c>
      <c r="D7" t="s">
        <v>322</v>
      </c>
      <c r="E7" t="s">
        <v>326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8.7109375" customWidth="1"/>
  </cols>
  <sheetData>
    <row r="1" spans="1:8">
      <c r="A1" s="1" t="s">
        <v>331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332</v>
      </c>
      <c r="H1" s="1" t="s">
        <v>73</v>
      </c>
    </row>
    <row r="2" spans="1:8">
      <c r="A2" t="s">
        <v>333</v>
      </c>
      <c r="B2">
        <v>1</v>
      </c>
      <c r="C2">
        <v>1</v>
      </c>
      <c r="D2">
        <v>0.8</v>
      </c>
      <c r="E2">
        <v>0.8</v>
      </c>
      <c r="F2">
        <v>1</v>
      </c>
      <c r="G2">
        <v>0.8</v>
      </c>
      <c r="H2">
        <v>1</v>
      </c>
    </row>
    <row r="3" spans="1:8">
      <c r="A3" t="s">
        <v>334</v>
      </c>
      <c r="B3">
        <v>1</v>
      </c>
      <c r="C3">
        <v>0.9</v>
      </c>
      <c r="D3">
        <v>1.2</v>
      </c>
      <c r="E3">
        <v>0.9</v>
      </c>
      <c r="F3">
        <v>1.1</v>
      </c>
      <c r="G3">
        <v>1</v>
      </c>
      <c r="H3">
        <v>1</v>
      </c>
    </row>
    <row r="4" spans="1:8">
      <c r="A4" t="s">
        <v>335</v>
      </c>
      <c r="B4">
        <v>1.2</v>
      </c>
      <c r="C4">
        <v>1.1</v>
      </c>
      <c r="D4">
        <v>0.6</v>
      </c>
      <c r="E4">
        <v>0.7</v>
      </c>
      <c r="F4">
        <v>0.8</v>
      </c>
      <c r="G4">
        <v>1</v>
      </c>
      <c r="H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8.7109375" customWidth="1"/>
    <col min="3" max="3" width="52.7109375" customWidth="1"/>
  </cols>
  <sheetData>
    <row r="1" spans="1:3">
      <c r="A1" s="1" t="s">
        <v>336</v>
      </c>
      <c r="B1" s="1" t="s">
        <v>337</v>
      </c>
      <c r="C1" s="1" t="s">
        <v>67</v>
      </c>
    </row>
    <row r="2" spans="1:3">
      <c r="A2" t="s">
        <v>315</v>
      </c>
      <c r="B2">
        <v>180</v>
      </c>
      <c r="C2" t="s">
        <v>344</v>
      </c>
    </row>
    <row r="3" spans="1:3">
      <c r="A3" t="s">
        <v>338</v>
      </c>
      <c r="B3">
        <v>6</v>
      </c>
      <c r="C3" t="s">
        <v>345</v>
      </c>
    </row>
    <row r="4" spans="1:3">
      <c r="A4" t="s">
        <v>339</v>
      </c>
      <c r="B4">
        <v>3</v>
      </c>
      <c r="C4" t="s">
        <v>346</v>
      </c>
    </row>
    <row r="5" spans="1:3">
      <c r="A5" t="s">
        <v>325</v>
      </c>
      <c r="B5">
        <v>2</v>
      </c>
      <c r="C5" t="s">
        <v>347</v>
      </c>
    </row>
    <row r="6" spans="1:3">
      <c r="A6" t="s">
        <v>329</v>
      </c>
      <c r="B6">
        <v>2</v>
      </c>
      <c r="C6" t="s">
        <v>348</v>
      </c>
    </row>
    <row r="7" spans="1:3">
      <c r="A7" t="s">
        <v>330</v>
      </c>
      <c r="B7">
        <v>1</v>
      </c>
      <c r="C7" t="s">
        <v>349</v>
      </c>
    </row>
    <row r="8" spans="1:3">
      <c r="A8" t="s">
        <v>340</v>
      </c>
      <c r="B8">
        <v>1</v>
      </c>
      <c r="C8" t="s">
        <v>350</v>
      </c>
    </row>
    <row r="9" spans="1:3">
      <c r="A9" t="s">
        <v>321</v>
      </c>
      <c r="B9">
        <v>260</v>
      </c>
      <c r="C9" t="s">
        <v>351</v>
      </c>
    </row>
    <row r="12" spans="1:3">
      <c r="A12" t="s">
        <v>341</v>
      </c>
      <c r="B12">
        <v>0</v>
      </c>
    </row>
    <row r="13" spans="1:3">
      <c r="A13" t="s">
        <v>342</v>
      </c>
      <c r="B13">
        <v>0</v>
      </c>
    </row>
    <row r="14" spans="1:3">
      <c r="A14" t="s">
        <v>343</v>
      </c>
      <c r="B1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9.7109375" customWidth="1"/>
  </cols>
  <sheetData>
    <row r="1" spans="1:3">
      <c r="A1" s="1" t="s">
        <v>336</v>
      </c>
      <c r="B1" s="1" t="s">
        <v>337</v>
      </c>
      <c r="C1" s="1" t="s">
        <v>67</v>
      </c>
    </row>
    <row r="2" spans="1:3">
      <c r="A2" t="s">
        <v>352</v>
      </c>
      <c r="B2">
        <v>3</v>
      </c>
      <c r="C2" t="s">
        <v>356</v>
      </c>
    </row>
    <row r="3" spans="1:3">
      <c r="A3" t="s">
        <v>353</v>
      </c>
      <c r="B3">
        <v>1</v>
      </c>
      <c r="C3" t="s">
        <v>357</v>
      </c>
    </row>
    <row r="4" spans="1:3">
      <c r="A4" t="s">
        <v>354</v>
      </c>
      <c r="B4">
        <v>0.25</v>
      </c>
      <c r="C4" t="s">
        <v>358</v>
      </c>
    </row>
    <row r="5" spans="1:3">
      <c r="A5" t="s">
        <v>355</v>
      </c>
      <c r="B5">
        <v>1</v>
      </c>
      <c r="C5" t="s">
        <v>359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18.7109375" customWidth="1"/>
    <col min="3" max="3" width="84.7109375" customWidth="1"/>
  </cols>
  <sheetData>
    <row r="1" spans="1:3">
      <c r="A1" s="1" t="s">
        <v>299</v>
      </c>
      <c r="B1" s="1" t="s">
        <v>300</v>
      </c>
      <c r="C1" s="1" t="s">
        <v>67</v>
      </c>
    </row>
    <row r="2" spans="1:3">
      <c r="A2" t="s">
        <v>360</v>
      </c>
      <c r="B2">
        <v>0</v>
      </c>
      <c r="C2" t="s">
        <v>365</v>
      </c>
    </row>
    <row r="3" spans="1:3">
      <c r="A3" t="s">
        <v>361</v>
      </c>
      <c r="B3">
        <v>0</v>
      </c>
      <c r="C3" t="s">
        <v>366</v>
      </c>
    </row>
    <row r="4" spans="1:3">
      <c r="A4" t="s">
        <v>362</v>
      </c>
      <c r="B4">
        <v>0</v>
      </c>
      <c r="C4" t="s">
        <v>367</v>
      </c>
    </row>
    <row r="5" spans="1:3">
      <c r="A5" t="s">
        <v>363</v>
      </c>
      <c r="B5">
        <v>0</v>
      </c>
      <c r="C5" t="s">
        <v>368</v>
      </c>
    </row>
    <row r="6" spans="1:3">
      <c r="A6" t="s">
        <v>364</v>
      </c>
      <c r="B6">
        <v>0</v>
      </c>
      <c r="C6" t="s">
        <v>369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8.7109375" customWidth="1"/>
  </cols>
  <sheetData>
    <row r="1" spans="1:8">
      <c r="A1" s="1" t="s">
        <v>331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332</v>
      </c>
      <c r="H1" s="1" t="s">
        <v>73</v>
      </c>
    </row>
    <row r="2" spans="1:8">
      <c r="A2" t="s">
        <v>333</v>
      </c>
      <c r="B2">
        <v>1</v>
      </c>
      <c r="C2">
        <v>1</v>
      </c>
      <c r="D2">
        <v>0.8</v>
      </c>
      <c r="E2">
        <v>0.8</v>
      </c>
      <c r="F2">
        <v>1</v>
      </c>
      <c r="G2">
        <v>0.8</v>
      </c>
      <c r="H2">
        <v>1</v>
      </c>
    </row>
    <row r="3" spans="1:8">
      <c r="A3" t="s">
        <v>334</v>
      </c>
      <c r="B3">
        <v>1</v>
      </c>
      <c r="C3">
        <v>0.9</v>
      </c>
      <c r="D3">
        <v>1.2</v>
      </c>
      <c r="E3">
        <v>0.9</v>
      </c>
      <c r="F3">
        <v>1.1</v>
      </c>
      <c r="G3">
        <v>1</v>
      </c>
      <c r="H3">
        <v>1</v>
      </c>
    </row>
    <row r="4" spans="1:8">
      <c r="A4" t="s">
        <v>335</v>
      </c>
      <c r="B4">
        <v>1.2</v>
      </c>
      <c r="C4">
        <v>1.1</v>
      </c>
      <c r="D4">
        <v>0.6</v>
      </c>
      <c r="E4">
        <v>0.7</v>
      </c>
      <c r="F4">
        <v>0.8</v>
      </c>
      <c r="G4">
        <v>1</v>
      </c>
      <c r="H4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8" width="18.7109375" customWidth="1"/>
    <col min="9" max="9" width="29.7109375" customWidth="1"/>
    <col min="10" max="10" width="18.7109375" customWidth="1"/>
  </cols>
  <sheetData>
    <row r="1" spans="1:10">
      <c r="A1" s="1" t="s">
        <v>370</v>
      </c>
      <c r="B1" s="1" t="s">
        <v>371</v>
      </c>
      <c r="C1" s="1" t="s">
        <v>372</v>
      </c>
      <c r="D1" s="1" t="s">
        <v>373</v>
      </c>
      <c r="E1" s="1" t="s">
        <v>411</v>
      </c>
      <c r="F1" s="1" t="s">
        <v>375</v>
      </c>
      <c r="G1" s="1" t="s">
        <v>376</v>
      </c>
      <c r="H1" s="1" t="s">
        <v>377</v>
      </c>
      <c r="I1" s="1" t="s">
        <v>378</v>
      </c>
      <c r="J1" s="1" t="s">
        <v>379</v>
      </c>
    </row>
    <row r="2" spans="1:10">
      <c r="D2" t="s">
        <v>401</v>
      </c>
      <c r="E2">
        <f>'Risk_Inputs'!B3</f>
        <v>0</v>
      </c>
    </row>
    <row r="3" spans="1:10">
      <c r="A3" t="s">
        <v>380</v>
      </c>
      <c r="D3" t="s">
        <v>402</v>
      </c>
      <c r="E3">
        <f>'Risk_Inputs'!B4</f>
        <v>0</v>
      </c>
      <c r="F3" t="s">
        <v>389</v>
      </c>
      <c r="G3" t="s">
        <v>390</v>
      </c>
      <c r="I3" t="s">
        <v>391</v>
      </c>
      <c r="J3" t="s">
        <v>397</v>
      </c>
    </row>
    <row r="4" spans="1:10">
      <c r="D4" t="s">
        <v>403</v>
      </c>
      <c r="E4" cm="1">
        <f t="array" ref="E4">_xlfn.XLOOKUP($B$3,Weight_Editor!$A:$A,INDEX(Weight_Editor!$A:$Z,0,MATCH(D4,Weight_Editor!$1:$1,0)),0)</f>
        <v>0</v>
      </c>
      <c r="F4">
        <f>IF($I$11=0,0,H4/$I$11)</f>
        <v>0</v>
      </c>
      <c r="G4">
        <f>$B$5*F4</f>
        <v>0</v>
      </c>
      <c r="H4">
        <f>E4*IF(D4="ELITE",$E$2,IF(D4="CHEST",$E$3,1))</f>
        <v>0</v>
      </c>
      <c r="I4" t="s">
        <v>392</v>
      </c>
      <c r="J4">
        <v>0</v>
      </c>
    </row>
    <row r="5" spans="1:10">
      <c r="A5" t="s">
        <v>381</v>
      </c>
      <c r="B5">
        <v>10</v>
      </c>
      <c r="D5" t="s">
        <v>404</v>
      </c>
      <c r="E5" cm="1">
        <f t="array" ref="E5">_xlfn.XLOOKUP($B$3,Weight_Editor!$A:$A,INDEX(Weight_Editor!$A:$Z,0,MATCH(D5,Weight_Editor!$1:$1,0)),0)</f>
        <v>0</v>
      </c>
      <c r="F5">
        <f>IF($I$11=0,0,H5/$I$11)</f>
        <v>0</v>
      </c>
      <c r="G5">
        <f>$B$5*F5</f>
        <v>0</v>
      </c>
      <c r="H5">
        <f>E5*IF(D5="ELITE",$E$2,IF(D5="CHEST",$E$3,1))</f>
        <v>0</v>
      </c>
      <c r="I5" t="s">
        <v>393</v>
      </c>
      <c r="J5">
        <v>0</v>
      </c>
    </row>
    <row r="6" spans="1:10">
      <c r="A6" t="s">
        <v>382</v>
      </c>
      <c r="B6">
        <v>3</v>
      </c>
      <c r="D6" t="s">
        <v>70</v>
      </c>
      <c r="E6" cm="1">
        <f t="array" ref="E6">_xlfn.XLOOKUP($B$3,Weight_Editor!$A:$A,INDEX(Weight_Editor!$A:$Z,0,MATCH(D6,Weight_Editor!$1:$1,0)),0)</f>
        <v>0</v>
      </c>
      <c r="F6">
        <f>IF($I$11=0,0,H6/$I$11)</f>
        <v>0</v>
      </c>
      <c r="G6">
        <f>$B$5*F6</f>
        <v>0</v>
      </c>
      <c r="H6">
        <f>E6*IF(D6="ELITE",$E$2,IF(D6="CHEST",$E$3,1))</f>
        <v>0</v>
      </c>
      <c r="I6" t="s">
        <v>394</v>
      </c>
      <c r="J6">
        <v>0</v>
      </c>
    </row>
    <row r="7" spans="1:10">
      <c r="A7" t="s">
        <v>383</v>
      </c>
      <c r="B7">
        <v>1</v>
      </c>
      <c r="D7" t="s">
        <v>71</v>
      </c>
      <c r="E7" cm="1">
        <f t="array" ref="E7">_xlfn.XLOOKUP($B$3,Weight_Editor!$A:$A,INDEX(Weight_Editor!$A:$Z,0,MATCH(D7,Weight_Editor!$1:$1,0)),0)</f>
        <v>0</v>
      </c>
      <c r="F7">
        <f>IF($I$11=0,0,H7/$I$11)</f>
        <v>0</v>
      </c>
      <c r="G7">
        <f>$B$5*F7</f>
        <v>0</v>
      </c>
      <c r="H7">
        <f>E7*IF(D7="ELITE",$E$2,IF(D7="CHEST",$E$3,1))</f>
        <v>0</v>
      </c>
      <c r="I7" t="s">
        <v>395</v>
      </c>
      <c r="J7">
        <v>0</v>
      </c>
    </row>
    <row r="8" spans="1:10">
      <c r="A8" t="s">
        <v>384</v>
      </c>
      <c r="B8">
        <v>5</v>
      </c>
      <c r="D8" t="s">
        <v>72</v>
      </c>
      <c r="E8" cm="1">
        <f t="array" ref="E8">_xlfn.XLOOKUP($B$3,Weight_Editor!$A:$A,INDEX(Weight_Editor!$A:$Z,0,MATCH(D8,Weight_Editor!$1:$1,0)),0)</f>
        <v>0</v>
      </c>
      <c r="F8">
        <f>IF($I$11=0,0,H8/$I$11)</f>
        <v>0</v>
      </c>
      <c r="G8">
        <f>$B$5*F8</f>
        <v>0</v>
      </c>
      <c r="H8">
        <f>E8*IF(D8="ELITE",$E$2,IF(D8="CHEST",$E$3,1))</f>
        <v>0</v>
      </c>
    </row>
    <row r="9" spans="1:10">
      <c r="A9" t="s">
        <v>385</v>
      </c>
      <c r="B9">
        <v>1</v>
      </c>
      <c r="D9" t="s">
        <v>332</v>
      </c>
      <c r="E9" cm="1">
        <f t="array" ref="E9">_xlfn.XLOOKUP($B$3,Weight_Editor!$A:$A,INDEX(Weight_Editor!$A:$Z,0,MATCH(D9,Weight_Editor!$1:$1,0)),0)</f>
        <v>0</v>
      </c>
      <c r="F9">
        <f>IF($I$11=0,0,H9/$I$11)</f>
        <v>0</v>
      </c>
      <c r="G9">
        <f>$B$5*F9</f>
        <v>0</v>
      </c>
      <c r="H9">
        <f>E9*IF(D9="ELITE",$E$2,IF(D9="CHEST",$E$3,1))</f>
        <v>0</v>
      </c>
      <c r="I9" t="s">
        <v>396</v>
      </c>
      <c r="J9">
        <v>0</v>
      </c>
    </row>
    <row r="11" spans="1:10">
      <c r="A11" s="2" t="s">
        <v>413</v>
      </c>
      <c r="E11" t="s">
        <v>388</v>
      </c>
      <c r="F11">
        <v>0</v>
      </c>
      <c r="H11" s="1" t="s">
        <v>412</v>
      </c>
      <c r="I11">
        <f>SUM(H4:H9)</f>
        <v>0</v>
      </c>
    </row>
  </sheetData>
  <dataValidations count="1">
    <dataValidation type="list" allowBlank="1" showInputMessage="1" showErrorMessage="1" sqref="B3">
      <formula1>'Weight_Editor'!$A$2:$A$200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16.7109375" customWidth="1"/>
  </cols>
  <sheetData>
    <row r="1" spans="1:8">
      <c r="A1" s="1" t="s">
        <v>331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332</v>
      </c>
      <c r="H1" s="1" t="s">
        <v>73</v>
      </c>
    </row>
    <row r="2" spans="1:8">
      <c r="A2" t="s">
        <v>333</v>
      </c>
      <c r="B2">
        <v>1</v>
      </c>
      <c r="C2">
        <v>1</v>
      </c>
      <c r="D2">
        <v>0.8</v>
      </c>
      <c r="E2">
        <v>0.8</v>
      </c>
      <c r="F2">
        <v>1</v>
      </c>
      <c r="G2">
        <v>0.8</v>
      </c>
      <c r="H2">
        <v>1</v>
      </c>
    </row>
    <row r="3" spans="1:8">
      <c r="A3" t="s">
        <v>334</v>
      </c>
      <c r="B3">
        <v>1</v>
      </c>
      <c r="C3">
        <v>0.9</v>
      </c>
      <c r="D3">
        <v>1.2</v>
      </c>
      <c r="E3">
        <v>0.9</v>
      </c>
      <c r="F3">
        <v>1.1</v>
      </c>
      <c r="G3">
        <v>1</v>
      </c>
      <c r="H3">
        <v>1</v>
      </c>
    </row>
    <row r="4" spans="1:8">
      <c r="A4" t="s">
        <v>335</v>
      </c>
      <c r="B4">
        <v>1.2</v>
      </c>
      <c r="C4">
        <v>1.1</v>
      </c>
      <c r="D4">
        <v>0.6</v>
      </c>
      <c r="E4">
        <v>0.7</v>
      </c>
      <c r="F4">
        <v>0.8</v>
      </c>
      <c r="G4">
        <v>1</v>
      </c>
      <c r="H4">
        <v>1</v>
      </c>
    </row>
    <row r="6" spans="1:8">
      <c r="A6" s="2" t="s">
        <v>398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36.7109375" customWidth="1"/>
  </cols>
  <sheetData>
    <row r="1" spans="1:3">
      <c r="A1" s="1" t="s">
        <v>336</v>
      </c>
      <c r="B1" s="1" t="s">
        <v>337</v>
      </c>
      <c r="C1" s="1" t="s">
        <v>67</v>
      </c>
    </row>
    <row r="2" spans="1:3">
      <c r="A2" t="s">
        <v>399</v>
      </c>
      <c r="B2">
        <v>0</v>
      </c>
      <c r="C2" t="s">
        <v>405</v>
      </c>
    </row>
    <row r="3" spans="1:3">
      <c r="A3" t="s">
        <v>400</v>
      </c>
      <c r="B3">
        <v>0</v>
      </c>
      <c r="C3" t="s">
        <v>406</v>
      </c>
    </row>
    <row r="4" spans="1:3">
      <c r="A4" t="s">
        <v>401</v>
      </c>
      <c r="B4">
        <f>IF(B2=1,1.2,1.0)</f>
        <v>0</v>
      </c>
      <c r="C4" t="s">
        <v>407</v>
      </c>
    </row>
    <row r="5" spans="1:3">
      <c r="A5" t="s">
        <v>402</v>
      </c>
      <c r="B5">
        <f>IF(B2=1,0.85,1.0)</f>
        <v>0</v>
      </c>
      <c r="C5" t="s">
        <v>408</v>
      </c>
    </row>
    <row r="6" spans="1:3">
      <c r="A6" t="s">
        <v>403</v>
      </c>
      <c r="B6">
        <f>IF(B2=1,0.85,1.0)</f>
        <v>0</v>
      </c>
      <c r="C6" t="s">
        <v>409</v>
      </c>
    </row>
    <row r="7" spans="1:3">
      <c r="A7" t="s">
        <v>404</v>
      </c>
      <c r="B7">
        <f>0.10+IF(B3=1,0.05,0)</f>
        <v>0</v>
      </c>
      <c r="C7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Overview</vt:lpstr>
      <vt:lpstr>Core_Loop</vt:lpstr>
      <vt:lpstr>Shard_Generation</vt:lpstr>
      <vt:lpstr>Room_Taxonomy</vt:lpstr>
      <vt:lpstr>Collapse_Extraction</vt:lpstr>
      <vt:lpstr>Drops</vt:lpstr>
      <vt:lpstr>Risk_Modifiers</vt:lpstr>
      <vt:lpstr>Companion_Passives</vt:lpstr>
      <vt:lpstr>Hooks</vt:lpstr>
      <vt:lpstr>Tuning_Defaults</vt:lpstr>
      <vt:lpstr>Resource_Summary</vt:lpstr>
      <vt:lpstr>External_Links</vt:lpstr>
      <vt:lpstr>Computed_Metrics</vt:lpstr>
      <vt:lpstr>Room_Weights</vt:lpstr>
      <vt:lpstr>Run_Budget</vt:lpstr>
      <vt:lpstr>Alchemy_Value</vt:lpstr>
      <vt:lpstr>Alchemy_Calc</vt:lpstr>
      <vt:lpstr>Data_Biomes</vt:lpstr>
      <vt:lpstr>Biome_Profile</vt:lpstr>
      <vt:lpstr>Weight_Editor</vt:lpstr>
      <vt:lpstr>Risk_Inputs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2025-11-01T03:05:38Z</dcterms:created>
  <dcterms:modified xsi:type="dcterms:W3CDTF">2025-11-01T03:05:38Z</dcterms:modified>
</cp:coreProperties>
</file>