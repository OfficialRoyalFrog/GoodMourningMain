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ore_Flow" sheetId="2" r:id="rId2"/>
    <sheet name="Contentment_Model" sheetId="3" r:id="rId3"/>
    <sheet name="Bond_Model" sheetId="4" r:id="rId4"/>
    <sheet name="Grace_Model" sheetId="5" r:id="rId5"/>
    <sheet name="Daily_Harmony" sheetId="6" r:id="rId6"/>
    <sheet name="Interactions" sheetId="7" r:id="rId7"/>
    <sheet name="Hooks" sheetId="8" r:id="rId8"/>
    <sheet name="Tuning_Defaults" sheetId="9" r:id="rId9"/>
    <sheet name="External_Links" sheetId="10" r:id="rId10"/>
    <sheet name="Computed_Metrics" sheetId="11" r:id="rId11"/>
    <sheet name="Harmony_Inputs" sheetId="12" r:id="rId12"/>
    <sheet name="External_Data" sheetId="13" r:id="rId13"/>
    <sheet name="Harmony_Dashboard" sheetId="14" r:id="rId14"/>
    <sheet name="Contributions" sheetId="15" r:id="rId1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<sst xmlns="http://schemas.openxmlformats.org/spreadsheetml/2006/main" count="391" uniqueCount="294">
  <si>
    <t>Field</t>
  </si>
  <si>
    <t>Description</t>
  </si>
  <si>
    <t>System Name</t>
  </si>
  <si>
    <t>Tagline</t>
  </si>
  <si>
    <t>Purpose</t>
  </si>
  <si>
    <t>One‑line Summary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</si>
  <si>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</si>
  <si>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</si>
  <si>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</si>
  <si>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</si>
  <si>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</si>
  <si>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</si>
  <si>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</si>
  <si>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Contentment, Bond &amp; Grace (Meta) System</t>
  </si>
  <si>
    <t>Harmony in, progress out — feelings are your economy.</t>
  </si>
  <si>
    <t>Provide a unified, tunable model for happiness (Contentment), relationships (Bond), and progression (Grace). Balances all care &amp; ritual loops.</t>
  </si>
  <si>
    <t>Daily care raises Contentment and Bonds, which increase Essence/Grace yield; neglect causes Manifest/Unrest; the Daily Harmony score drives pacing and rewards.</t>
  </si>
  <si>
    <t>Care → Contentment ↑ → Essence ↑ → Rituals → Grace ↑ → Upgrades → Better Care → Repeat</t>
  </si>
  <si>
    <t>Rituals, Requests, Potions, Garden, Charms, Manifest/Contagion, Mementos, Buildings, Lighting</t>
  </si>
  <si>
    <t>Complex social graphs between ghosts, long-form romance arcs, faction politics.</t>
  </si>
  <si>
    <t>• Decay feels fair • Bonds grow predictably • Grace pacing is readable • The Daily Harmony summary feels rewarding and honest</t>
  </si>
  <si>
    <t>Brandon (Caretaker Designer)</t>
  </si>
  <si>
    <t>1.0</t>
  </si>
  <si>
    <t>2025-11-01 03:14 UTC</t>
  </si>
  <si>
    <t>Phase</t>
  </si>
  <si>
    <t>Name</t>
  </si>
  <si>
    <t>What Happens</t>
  </si>
  <si>
    <t>Rules</t>
  </si>
  <si>
    <t>UX Cues</t>
  </si>
  <si>
    <t>Morning Check</t>
  </si>
  <si>
    <t>Work &amp; Requests</t>
  </si>
  <si>
    <t>Ritual Window</t>
  </si>
  <si>
    <t>Evening Stabilize</t>
  </si>
  <si>
    <t>Daily Harmony</t>
  </si>
  <si>
    <t>Feed, soothe, clean; ensure lanterns and garden are ready.</t>
  </si>
  <si>
    <t>Ghosts perform roles; requests spawn independently.</t>
  </si>
  <si>
    <t>Perform key rituals; spend Essence/Remains for Grace.</t>
  </si>
  <si>
    <t>Clean remaining leaks; rest; Storytime; light lanterns.</t>
  </si>
  <si>
    <t>Score and text summarize outcomes; give small rewards.</t>
  </si>
  <si>
    <t>Raise Contentment early; reduce leak risk.</t>
  </si>
  <si>
    <t>Bond &amp; mood alter efficiency and request positivity.</t>
  </si>
  <si>
    <t>Grace pacing determined by harmony; Mishaps if low mood.</t>
  </si>
  <si>
    <t>Prevents night surges; raises Harmony score.</t>
  </si>
  <si>
    <t>Score weights contentment, bond, leaks, requests.</t>
  </si>
  <si>
    <t>HUD shows low-mood list; Daily target tips.</t>
  </si>
  <si>
    <t>Meters on HUD; request toasts.</t>
  </si>
  <si>
    <t>Altar panel: costs, effects, cooldowns.</t>
  </si>
  <si>
    <t>Daily summary hints for tomorrow.</t>
  </si>
  <si>
    <t>Banner + score + minor rewards (seeds, Mementos trickle).</t>
  </si>
  <si>
    <t>Parameter</t>
  </si>
  <si>
    <t>Default</t>
  </si>
  <si>
    <t>Notes</t>
  </si>
  <si>
    <t>BaseDecay_perMin</t>
  </si>
  <si>
    <t>HungerPenalty_mult</t>
  </si>
  <si>
    <t>AppetiteThreshold</t>
  </si>
  <si>
    <t>Contagion_magnitude</t>
  </si>
  <si>
    <t>Lantern_Damp_day</t>
  </si>
  <si>
    <t>Lantern_Damp_night</t>
  </si>
  <si>
    <t>Aura_Garden_bonus</t>
  </si>
  <si>
    <t>Charm_Damp</t>
  </si>
  <si>
    <t>Request_Buffer</t>
  </si>
  <si>
    <t>Daily_Min_Cap</t>
  </si>
  <si>
    <t>Daily_Max_Cap</t>
  </si>
  <si>
    <t>from Manifest</t>
  </si>
  <si>
    <t>Base Contentment change per minute (negative).</t>
  </si>
  <si>
    <t>When Appetite &lt; AppetiteThreshold, multiply decay magnitude.</t>
  </si>
  <si>
    <t>Below this appetite fraction, apply HungerPenalty.</t>
  </si>
  <si>
    <t>Driven by contagion model; added to decay.</t>
  </si>
  <si>
    <t>Multiply negative decay inside lantern radius (day).</t>
  </si>
  <si>
    <t>Multiply negative decay inside lantern radius (night).</t>
  </si>
  <si>
    <t>Per minute bonus while within healthy bloom aura (stack capped).</t>
  </si>
  <si>
    <t>Multiplicative dampening from Calm-type charms.</t>
  </si>
  <si>
    <t>Per completed request that day (stack capped).</t>
  </si>
  <si>
    <t>Floor per-ghost total daily change (prevents spirals).</t>
  </si>
  <si>
    <t>Ceiling per-ghost total daily change (prevents runaway).</t>
  </si>
  <si>
    <t>BondLevels</t>
  </si>
  <si>
    <t>BondXP_perLevel</t>
  </si>
  <si>
    <t>XP_from_Request</t>
  </si>
  <si>
    <t>XP_from_Storytime</t>
  </si>
  <si>
    <t>XP_from_Gift</t>
  </si>
  <si>
    <t>Bond_Decay_idle</t>
  </si>
  <si>
    <t>Bond_Effect_Efficiency</t>
  </si>
  <si>
    <t>Bond_Effect_Stability</t>
  </si>
  <si>
    <t>Bond_Effect_Resist</t>
  </si>
  <si>
    <t>0,1,2,3,4,5</t>
  </si>
  <si>
    <t>3,4,6,9,12</t>
  </si>
  <si>
    <t>+2% per level</t>
  </si>
  <si>
    <t>-3% mood decay per level</t>
  </si>
  <si>
    <t>-5% contagion per level</t>
  </si>
  <si>
    <t>Max 5 per ghost.</t>
  </si>
  <si>
    <t>XP needed to reach next level.</t>
  </si>
  <si>
    <t>Completing a request grants this XP.</t>
  </si>
  <si>
    <t>Per participant at Storytime.</t>
  </si>
  <si>
    <t>Per small gift (daily cap).</t>
  </si>
  <si>
    <t>No passive Bond decay (v1).</t>
  </si>
  <si>
    <t>Work output bonus.</t>
  </si>
  <si>
    <t>Decay dampening.</t>
  </si>
  <si>
    <t>Spread resistance.</t>
  </si>
  <si>
    <t>Grace_from_Rituals</t>
  </si>
  <si>
    <t>Harmony_Grace_Bonus</t>
  </si>
  <si>
    <t>Release_Grace</t>
  </si>
  <si>
    <t>Release_Bond_Bonus</t>
  </si>
  <si>
    <t>PerfectDay_Bonus</t>
  </si>
  <si>
    <t>Daily_Grace_SoftCap</t>
  </si>
  <si>
    <t>Spend_Target_perDay</t>
  </si>
  <si>
    <t>per ritual</t>
  </si>
  <si>
    <t>+0%..+50%</t>
  </si>
  <si>
    <t>+1..+3</t>
  </si>
  <si>
    <t>See Rituals spec; base yields.</t>
  </si>
  <si>
    <t>Multiplier based on Daily Harmony tier.</t>
  </si>
  <si>
    <t>Base Grace per peaceful Release.</t>
  </si>
  <si>
    <t>Bonus Grace if Bond ≥ 3 (scales).</t>
  </si>
  <si>
    <t>If no leaks and avg Contentment ≥ 75%.</t>
  </si>
  <si>
    <t>Past this, diminishing returns (-25%).</t>
  </si>
  <si>
    <t>Suggested spend/day (pacing target).</t>
  </si>
  <si>
    <t>Element</t>
  </si>
  <si>
    <t>Value</t>
  </si>
  <si>
    <t>Inputs</t>
  </si>
  <si>
    <t>ScoreFormula</t>
  </si>
  <si>
    <t>TierThresholds</t>
  </si>
  <si>
    <t>TierBonuses</t>
  </si>
  <si>
    <t>BannerText</t>
  </si>
  <si>
    <t>AvgContentment, LeaksCount, RotCount, RequestsDone, RequestsIgnored, AvgBond, NightSurgesCleansed</t>
  </si>
  <si>
    <t>Calm: 80+, Steady: 60–79, Wobbly: 40–59, Frayed: &lt;40</t>
  </si>
  <si>
    <t>Calm:+50% Grace Bonus, Steady:+25%, Wobbly:+10%, Frayed:0%</t>
  </si>
  <si>
    <t>Calm: “Peace, for now.”; Steady: “We held together.”; Wobbly: “A near thing.”; Frayed: “Barely holding on.”</t>
  </si>
  <si>
    <t>0..100+</t>
  </si>
  <si>
    <t>Used for banner text &amp; bonuses.</t>
  </si>
  <si>
    <t>Applied next day to ritual Grace only.</t>
  </si>
  <si>
    <t>Localization-friendly strings.</t>
  </si>
  <si>
    <t>System</t>
  </si>
  <si>
    <t>Interaction</t>
  </si>
  <si>
    <t>Rituals</t>
  </si>
  <si>
    <t>Requests</t>
  </si>
  <si>
    <t>Manifest/Contagion</t>
  </si>
  <si>
    <t>Garden</t>
  </si>
  <si>
    <t>Charms</t>
  </si>
  <si>
    <t>Lighting</t>
  </si>
  <si>
    <t>Buildings</t>
  </si>
  <si>
    <t>Cleansing/Feast/Release affect C,B,G; Grace pacing derived here.</t>
  </si>
  <si>
    <t>Drive Bond XP; produce small Contentment; failure hurts.</t>
  </si>
  <si>
    <t>Low mood triggers leaks; drains Contentment; cleanup rewards help.</t>
  </si>
  <si>
    <t>Auras stabilize; Ectofruit restores Appetite; Ashblossom yields Essence.</t>
  </si>
  <si>
    <t>Calm and Focus reduce decay; Mirth speeds Bond.</t>
  </si>
  <si>
    <t>Lantern radius dampens decay; stronger at night.</t>
  </si>
  <si>
    <t>Beds/rest zones reduce Flicker; stations raise stability.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</si>
  <si>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</si>
  <si>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</si>
  <si>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</si>
  <si>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</si>
  <si>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</si>
  <si>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</si>
  <si>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</si>
  <si>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</si>
  <si>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</si>
  <si>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HK_ContentmentAgent</t>
  </si>
  <si>
    <t>HK_BondAgent</t>
  </si>
  <si>
    <t>HK_GraceBank</t>
  </si>
  <si>
    <t>HK_HarmonySummary</t>
  </si>
  <si>
    <t>Per-ghost mood tick &amp; caps</t>
  </si>
  <si>
    <t>Per-ghost Bond xp &amp; level</t>
  </si>
  <si>
    <t>Grace earn/spend pacing</t>
  </si>
  <si>
    <t>Daily score &amp; banner</t>
  </si>
  <si>
    <t>KD.Mood.ContentmentAgent</t>
  </si>
  <si>
    <t>KD.Social.BondAgent</t>
  </si>
  <si>
    <t>KD.Meta.GraceBank</t>
  </si>
  <si>
    <t>KD.Meta.HarmonySummary</t>
  </si>
  <si>
    <t>decayBase, hungerMult, dampeners[], caps{}</t>
  </si>
  <si>
    <t>level, xp, xpNeed[], effects{}</t>
  </si>
  <si>
    <t>total, softCap, dailyEarn, dailySpend</t>
  </si>
  <si>
    <t>inputs{}, score, tier</t>
  </si>
  <si>
    <t>OnTick, OnContentmentChanged</t>
  </si>
  <si>
    <t>OnBondGain, OnLevelUp</t>
  </si>
  <si>
    <t>OnGraceEarned, OnGraceSpent</t>
  </si>
  <si>
    <t>OnDayEnd</t>
  </si>
  <si>
    <t>TimeManager, Events</t>
  </si>
  <si>
    <t>Requests, Storytime, Gifts</t>
  </si>
  <si>
    <t>Rituals, DailyHarmony</t>
  </si>
  <si>
    <t>TimeManager</t>
  </si>
  <si>
    <t>Emit: MoodChanged</t>
  </si>
  <si>
    <t>Emit: BondChanged</t>
  </si>
  <si>
    <t>Emit: GraceTotals, DaySummary</t>
  </si>
  <si>
    <t>Emit: HarmonyTier, Bonus</t>
  </si>
  <si>
    <t>—</t>
  </si>
  <si>
    <t>UI_DailyBanner</t>
  </si>
  <si>
    <t>Centralizes all mood math.</t>
  </si>
  <si>
    <t>Applies per-level buffs to systems.</t>
  </si>
  <si>
    <t>Handles soft caps, next-day bonuses.</t>
  </si>
  <si>
    <t>Grants next-day Grace bonus.</t>
  </si>
  <si>
    <t>Min</t>
  </si>
  <si>
    <t>Max</t>
  </si>
  <si>
    <t>base_decay_per_min</t>
  </si>
  <si>
    <t>hunger_penalty_mult</t>
  </si>
  <si>
    <t>appetite_threshold</t>
  </si>
  <si>
    <t>lantern_damp_day</t>
  </si>
  <si>
    <t>lantern_damp_night</t>
  </si>
  <si>
    <t>garden_aura_bonus_per_min</t>
  </si>
  <si>
    <t>request_buffer_per</t>
  </si>
  <si>
    <t>daily_min_cap</t>
  </si>
  <si>
    <t>daily_max_cap</t>
  </si>
  <si>
    <t>bond_xp_request</t>
  </si>
  <si>
    <t>bond_xp_storytime</t>
  </si>
  <si>
    <t>bond_xp_gift</t>
  </si>
  <si>
    <t>bond_efficiency_per_level</t>
  </si>
  <si>
    <t>bond_decay_mult_per_level</t>
  </si>
  <si>
    <t>bond_resist_per_level</t>
  </si>
  <si>
    <t>grace_release</t>
  </si>
  <si>
    <t>grace_bonus_perfect_day</t>
  </si>
  <si>
    <t>grace_softcap_daily</t>
  </si>
  <si>
    <t>grace_spend_target</t>
  </si>
  <si>
    <t>Base Contentment change / minute.</t>
  </si>
  <si>
    <t>When Appetite &lt; threshold.</t>
  </si>
  <si>
    <t>Below this → penalty.</t>
  </si>
  <si>
    <t>Multiply negative decay in light (day).</t>
  </si>
  <si>
    <t>Multiply negative decay in light (night).</t>
  </si>
  <si>
    <t>Positive per-minute in garden aura.</t>
  </si>
  <si>
    <t>Per request completed (stack cap 3).</t>
  </si>
  <si>
    <t>Floor per-ghost daily total change.</t>
  </si>
  <si>
    <t>Ceiling per-ghost daily total change.</t>
  </si>
  <si>
    <t>Bond XP per request.</t>
  </si>
  <si>
    <t>Bond XP per Storytime participant.</t>
  </si>
  <si>
    <t>Bond XP per gift (daily cap 1).</t>
  </si>
  <si>
    <t>Work efficiency bonus per Bond level.</t>
  </si>
  <si>
    <t>Mood decay change per Bond level.</t>
  </si>
  <si>
    <t>Contagion dampening per level.</t>
  </si>
  <si>
    <t>Base Grace from Release ritual.</t>
  </si>
  <si>
    <t>Extra Grace if no leaks and avgContentment ≥ 75%.</t>
  </si>
  <si>
    <t>Soft cap for diminishing returns (daily).</t>
  </si>
  <si>
    <t>Suggested daily spend target.</t>
  </si>
  <si>
    <t>LinkKey</t>
  </si>
  <si>
    <t>Excel_Formula</t>
  </si>
  <si>
    <t>Essence_Token_Value</t>
  </si>
  <si>
    <t>Remains_Token_Value</t>
  </si>
  <si>
    <t>Token_Token_Value</t>
  </si>
  <si>
    <t>Token value of Essence</t>
  </si>
  <si>
    <t>Token value of Remains</t>
  </si>
  <si>
    <t>Face value per Token</t>
  </si>
  <si>
    <t>Metric</t>
  </si>
  <si>
    <t>Formula (Excel)</t>
  </si>
  <si>
    <t>Var1</t>
  </si>
  <si>
    <t>Var2</t>
  </si>
  <si>
    <t>Var3</t>
  </si>
  <si>
    <t>Var4</t>
  </si>
  <si>
    <t>Var5</t>
  </si>
  <si>
    <t>Var6</t>
  </si>
  <si>
    <t>Contentment Δ / Day (per ghost)</t>
  </si>
  <si>
    <t>Bond XP / Day (avg)</t>
  </si>
  <si>
    <t>Grace / Day (est.)</t>
  </si>
  <si>
    <t>Harmony Score</t>
  </si>
  <si>
    <t>Minutes</t>
  </si>
  <si>
    <t>RequestsDone</t>
  </si>
  <si>
    <t>RitualGrace</t>
  </si>
  <si>
    <t>AvgContentment</t>
  </si>
  <si>
    <t>LightDamp</t>
  </si>
  <si>
    <t>StoryParticipants</t>
  </si>
  <si>
    <t>HarmonyBonus</t>
  </si>
  <si>
    <t>HungerMult</t>
  </si>
  <si>
    <t>Gifts</t>
  </si>
  <si>
    <t>Releases</t>
  </si>
  <si>
    <t>Leaks</t>
  </si>
  <si>
    <t>GardenBonus</t>
  </si>
  <si>
    <t>PerfectDay</t>
  </si>
  <si>
    <t>Rot</t>
  </si>
  <si>
    <t>RequestBuffers</t>
  </si>
  <si>
    <t>Diminish</t>
  </si>
  <si>
    <t>Ignored</t>
  </si>
  <si>
    <t>BondDecayMod</t>
  </si>
  <si>
    <t>AvgBond</t>
  </si>
  <si>
    <t>Key</t>
  </si>
  <si>
    <t>RequestsIgnored</t>
  </si>
  <si>
    <t>NightCleansed</t>
  </si>
  <si>
    <t>0–1 average across the day</t>
  </si>
  <si>
    <t>Total leaks today</t>
  </si>
  <si>
    <t>Total rot events today</t>
  </si>
  <si>
    <t>Completed requests</t>
  </si>
  <si>
    <t>Ignored/expired requests</t>
  </si>
  <si>
    <t>Average bond level across ghosts (0–5)</t>
  </si>
  <si>
    <t>Night surges cleansed</t>
  </si>
  <si>
    <t>Total ritual grace earned today (sum)</t>
  </si>
  <si>
    <t>0..0.5 applied to ritual grace only</t>
  </si>
  <si>
    <t>Requests_ExpectedPerDay</t>
  </si>
  <si>
    <t>Rituals_Grace_Adjusted_Total</t>
  </si>
  <si>
    <t>Opens when Followers sheet is loaded; use this as a reference for RequestsDone target.</t>
  </si>
  <si>
    <t>Sum of Grace_Adjusted column from Costs_Live sheet.</t>
  </si>
  <si>
    <t>Harmony Dashboard</t>
  </si>
  <si>
    <t>Tier</t>
  </si>
  <si>
    <t>Calm/Steady/Wobbly/Frayed</t>
  </si>
  <si>
    <t>Estimated Grace Today</t>
  </si>
  <si>
    <t>Component</t>
  </si>
  <si>
    <t>Weight</t>
  </si>
  <si>
    <t>Computed</t>
  </si>
  <si>
    <t>Contentment</t>
  </si>
  <si>
    <t>(Change inputs in Harmony_Inputs to simulate days.)</t>
  </si>
  <si>
    <t>(Open Followers/Rituals workbooks to enable External_Data live links.)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</si>
</sst>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Harmony Contributions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Score Contribution</c:v>
          </c:tx>
          <c:cat>
            <c:strRef>
              <c:f>'Contributions'!$A$2:$A$8</c:f>
              <c:strCache>
                <c:ptCount val="7"/>
                <c:pt idx="0">
                  <c:v>Component</c:v>
                </c:pt>
                <c:pt idx="1">
                  <c:v>Contentment</c:v>
                </c:pt>
                <c:pt idx="2">
                  <c:v>RequestsDone</c:v>
                </c:pt>
                <c:pt idx="3">
                  <c:v>NightCleansed</c:v>
                </c:pt>
                <c:pt idx="4">
                  <c:v>Leaks</c:v>
                </c:pt>
                <c:pt idx="5">
                  <c:v>Rot</c:v>
                </c:pt>
                <c:pt idx="6">
                  <c:v>RequestsIgnored</c:v>
                </c:pt>
              </c:strCache>
            </c:strRef>
          </c:cat>
          <c:val>
            <c:numRef>
              <c:f>'Contributions'!$C$2:$C$8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Component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Points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11</xdr:col>
      <xdr:colOff>152400</xdr:colOff>
      <xdr:row>28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8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9.7109375" customWidth="1"/>
    <col min="3" max="3" width="60.7109375" customWidth="1"/>
    <col min="4" max="4" width="58.7109375" customWidth="1"/>
    <col min="5" max="5" width="59.7109375" customWidth="1"/>
  </cols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>
        <v>1</v>
      </c>
      <c r="B2" t="s">
        <v>29</v>
      </c>
      <c r="C2" t="s">
        <v>34</v>
      </c>
      <c r="D2" t="s">
        <v>39</v>
      </c>
      <c r="E2" t="s">
        <v>44</v>
      </c>
    </row>
    <row r="3" spans="1:5">
      <c r="A3">
        <v>2</v>
      </c>
      <c r="B3" t="s">
        <v>30</v>
      </c>
      <c r="C3" t="s">
        <v>35</v>
      </c>
      <c r="D3" t="s">
        <v>40</v>
      </c>
      <c r="E3" t="s">
        <v>45</v>
      </c>
    </row>
    <row r="4" spans="1:5">
      <c r="A4">
        <v>3</v>
      </c>
      <c r="B4" t="s">
        <v>31</v>
      </c>
      <c r="C4" t="s">
        <v>36</v>
      </c>
      <c r="D4" t="s">
        <v>41</v>
      </c>
      <c r="E4" t="s">
        <v>46</v>
      </c>
    </row>
    <row r="5" spans="1:5">
      <c r="A5">
        <v>4</v>
      </c>
      <c r="B5" t="s">
        <v>32</v>
      </c>
      <c r="C5" t="s">
        <v>37</v>
      </c>
      <c r="D5" t="s">
        <v>42</v>
      </c>
      <c r="E5" t="s">
        <v>47</v>
      </c>
    </row>
    <row r="6" spans="1:5">
      <c r="A6">
        <v>5</v>
      </c>
      <c r="B6" t="s">
        <v>33</v>
      </c>
      <c r="C6" t="s">
        <v>38</v>
      </c>
      <c r="D6" t="s">
        <v>43</v>
      </c>
      <c r="E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8.7109375" customWidth="1"/>
    <col min="3" max="3" width="66.7109375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52</v>
      </c>
      <c r="B2">
        <v>-0.2</v>
      </c>
      <c r="C2" t="s">
        <v>64</v>
      </c>
    </row>
    <row r="3" spans="1:3">
      <c r="A3" t="s">
        <v>53</v>
      </c>
      <c r="B3">
        <v>1.25</v>
      </c>
      <c r="C3" t="s">
        <v>65</v>
      </c>
    </row>
    <row r="4" spans="1:3">
      <c r="A4" t="s">
        <v>54</v>
      </c>
      <c r="B4">
        <v>0.4</v>
      </c>
      <c r="C4" t="s">
        <v>66</v>
      </c>
    </row>
    <row r="5" spans="1:3">
      <c r="A5" t="s">
        <v>55</v>
      </c>
      <c r="B5" t="s">
        <v>63</v>
      </c>
      <c r="C5" t="s">
        <v>67</v>
      </c>
    </row>
    <row r="6" spans="1:3">
      <c r="A6" t="s">
        <v>56</v>
      </c>
      <c r="B6">
        <v>0.85</v>
      </c>
      <c r="C6" t="s">
        <v>68</v>
      </c>
    </row>
    <row r="7" spans="1:3">
      <c r="A7" t="s">
        <v>57</v>
      </c>
      <c r="B7">
        <v>0.75</v>
      </c>
      <c r="C7" t="s">
        <v>69</v>
      </c>
    </row>
    <row r="8" spans="1:3">
      <c r="A8" t="s">
        <v>58</v>
      </c>
      <c r="B8">
        <v>0.05</v>
      </c>
      <c r="C8" t="s">
        <v>70</v>
      </c>
    </row>
    <row r="9" spans="1:3">
      <c r="A9" t="s">
        <v>59</v>
      </c>
      <c r="B9">
        <v>0.9</v>
      </c>
      <c r="C9" t="s">
        <v>71</v>
      </c>
    </row>
    <row r="10" spans="1:3">
      <c r="A10" t="s">
        <v>60</v>
      </c>
      <c r="B10">
        <v>0.1</v>
      </c>
      <c r="C10" t="s">
        <v>72</v>
      </c>
    </row>
    <row r="11" spans="1:3">
      <c r="A11" t="s">
        <v>61</v>
      </c>
      <c r="B11">
        <v>-2.5</v>
      </c>
      <c r="C11" t="s">
        <v>73</v>
      </c>
    </row>
    <row r="12" spans="1:3">
      <c r="A12" t="s">
        <v>62</v>
      </c>
      <c r="B12">
        <v>3</v>
      </c>
      <c r="C1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6.7109375" customWidth="1"/>
    <col min="3" max="3" width="38.7109375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75</v>
      </c>
      <c r="B2" t="s">
        <v>84</v>
      </c>
      <c r="C2" t="s">
        <v>89</v>
      </c>
    </row>
    <row r="3" spans="1:3">
      <c r="A3" t="s">
        <v>76</v>
      </c>
      <c r="B3" t="s">
        <v>85</v>
      </c>
      <c r="C3" t="s">
        <v>90</v>
      </c>
    </row>
    <row r="4" spans="1:3">
      <c r="A4" t="s">
        <v>77</v>
      </c>
      <c r="B4">
        <v>1</v>
      </c>
      <c r="C4" t="s">
        <v>91</v>
      </c>
    </row>
    <row r="5" spans="1:3">
      <c r="A5" t="s">
        <v>78</v>
      </c>
      <c r="B5">
        <v>0.5</v>
      </c>
      <c r="C5" t="s">
        <v>92</v>
      </c>
    </row>
    <row r="6" spans="1:3">
      <c r="A6" t="s">
        <v>79</v>
      </c>
      <c r="B6">
        <v>0.5</v>
      </c>
      <c r="C6" t="s">
        <v>93</v>
      </c>
    </row>
    <row r="7" spans="1:3">
      <c r="A7" t="s">
        <v>80</v>
      </c>
      <c r="B7">
        <v>0</v>
      </c>
      <c r="C7" t="s">
        <v>94</v>
      </c>
    </row>
    <row r="8" spans="1:3">
      <c r="A8" t="s">
        <v>81</v>
      </c>
      <c r="B8" t="s">
        <v>86</v>
      </c>
      <c r="C8" t="s">
        <v>95</v>
      </c>
    </row>
    <row r="9" spans="1:3">
      <c r="A9" t="s">
        <v>82</v>
      </c>
      <c r="B9" t="s">
        <v>87</v>
      </c>
      <c r="C9" t="s">
        <v>96</v>
      </c>
    </row>
    <row r="10" spans="1:3">
      <c r="A10" t="s">
        <v>83</v>
      </c>
      <c r="B10" t="s">
        <v>88</v>
      </c>
      <c r="C10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8.7109375" customWidth="1"/>
    <col min="3" max="3" width="41.7109375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98</v>
      </c>
      <c r="B2" t="s">
        <v>105</v>
      </c>
      <c r="C2" t="s">
        <v>108</v>
      </c>
    </row>
    <row r="3" spans="1:3">
      <c r="A3" t="s">
        <v>99</v>
      </c>
      <c r="B3" t="s">
        <v>106</v>
      </c>
      <c r="C3" t="s">
        <v>109</v>
      </c>
    </row>
    <row r="4" spans="1:3">
      <c r="A4" t="s">
        <v>100</v>
      </c>
      <c r="B4">
        <v>5</v>
      </c>
      <c r="C4" t="s">
        <v>110</v>
      </c>
    </row>
    <row r="5" spans="1:3">
      <c r="A5" t="s">
        <v>101</v>
      </c>
      <c r="B5" t="s">
        <v>107</v>
      </c>
      <c r="C5" t="s">
        <v>111</v>
      </c>
    </row>
    <row r="6" spans="1:3">
      <c r="A6" t="s">
        <v>102</v>
      </c>
      <c r="B6">
        <v>2</v>
      </c>
      <c r="C6" t="s">
        <v>112</v>
      </c>
    </row>
    <row r="7" spans="1:3">
      <c r="A7" t="s">
        <v>103</v>
      </c>
      <c r="B7">
        <v>20</v>
      </c>
      <c r="C7" t="s">
        <v>113</v>
      </c>
    </row>
    <row r="8" spans="1:3">
      <c r="A8" t="s">
        <v>104</v>
      </c>
      <c r="B8">
        <v>10</v>
      </c>
      <c r="C8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84.7109375" customWidth="1"/>
    <col min="3" max="3" width="40.7109375" customWidth="1"/>
  </cols>
  <sheetData>
    <row r="1" spans="1:3">
      <c r="A1" s="1" t="s">
        <v>115</v>
      </c>
      <c r="B1" s="1" t="s">
        <v>116</v>
      </c>
      <c r="C1" s="1" t="s">
        <v>51</v>
      </c>
    </row>
    <row r="2" spans="1:3">
      <c r="A2" t="s">
        <v>117</v>
      </c>
      <c r="B2" t="s">
        <v>122</v>
      </c>
    </row>
    <row r="3" spans="1:3">
      <c r="A3" t="s">
        <v>118</v>
      </c>
      <c r="B3">
        <v>0</v>
      </c>
      <c r="C3" t="s">
        <v>126</v>
      </c>
    </row>
    <row r="4" spans="1:3">
      <c r="A4" t="s">
        <v>119</v>
      </c>
      <c r="B4" t="s">
        <v>123</v>
      </c>
      <c r="C4" t="s">
        <v>127</v>
      </c>
    </row>
    <row r="5" spans="1:3">
      <c r="A5" t="s">
        <v>120</v>
      </c>
      <c r="B5" t="s">
        <v>124</v>
      </c>
      <c r="C5" t="s">
        <v>128</v>
      </c>
    </row>
    <row r="6" spans="1:3">
      <c r="A6" t="s">
        <v>121</v>
      </c>
      <c r="B6" t="s">
        <v>125</v>
      </c>
      <c r="C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74.7109375" customWidth="1"/>
  </cols>
  <sheetData>
    <row r="1" spans="1:2">
      <c r="A1" s="1" t="s">
        <v>130</v>
      </c>
      <c r="B1" s="1" t="s">
        <v>131</v>
      </c>
    </row>
    <row r="2" spans="1:2">
      <c r="A2" t="s">
        <v>132</v>
      </c>
      <c r="B2" t="s">
        <v>139</v>
      </c>
    </row>
    <row r="3" spans="1:2">
      <c r="A3" t="s">
        <v>133</v>
      </c>
      <c r="B3" t="s">
        <v>140</v>
      </c>
    </row>
    <row r="4" spans="1:2">
      <c r="A4" t="s">
        <v>134</v>
      </c>
      <c r="B4" t="s">
        <v>141</v>
      </c>
    </row>
    <row r="5" spans="1:2">
      <c r="A5" t="s">
        <v>135</v>
      </c>
      <c r="B5" t="s">
        <v>142</v>
      </c>
    </row>
    <row r="6" spans="1:2">
      <c r="A6" t="s">
        <v>136</v>
      </c>
      <c r="B6" t="s">
        <v>143</v>
      </c>
    </row>
    <row r="7" spans="1:2">
      <c r="A7" t="s">
        <v>137</v>
      </c>
      <c r="B7" t="s">
        <v>144</v>
      </c>
    </row>
    <row r="8" spans="1:2">
      <c r="A8" t="s">
        <v>138</v>
      </c>
      <c r="B8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26.7109375" customWidth="1"/>
    <col min="4" max="4" width="44.7109375" customWidth="1"/>
    <col min="5" max="5" width="30.7109375" customWidth="1"/>
    <col min="6" max="6" width="28.7109375" customWidth="1"/>
    <col min="7" max="7" width="31.7109375" customWidth="1"/>
    <col min="8" max="8" width="25.7109375" customWidth="1"/>
    <col min="9" max="9" width="38.7109375" customWidth="1"/>
  </cols>
  <sheetData>
    <row r="1" spans="1:9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>
      <c r="A2" t="s">
        <v>155</v>
      </c>
      <c r="B2" t="s">
        <v>159</v>
      </c>
      <c r="C2" t="s">
        <v>163</v>
      </c>
      <c r="D2" t="s">
        <v>167</v>
      </c>
      <c r="E2" t="s">
        <v>171</v>
      </c>
      <c r="F2" t="s">
        <v>175</v>
      </c>
      <c r="G2" t="s">
        <v>179</v>
      </c>
      <c r="H2" t="s">
        <v>183</v>
      </c>
      <c r="I2" t="s">
        <v>185</v>
      </c>
    </row>
    <row r="3" spans="1:9">
      <c r="A3" t="s">
        <v>156</v>
      </c>
      <c r="B3" t="s">
        <v>160</v>
      </c>
      <c r="C3" t="s">
        <v>164</v>
      </c>
      <c r="D3" t="s">
        <v>168</v>
      </c>
      <c r="E3" t="s">
        <v>172</v>
      </c>
      <c r="F3" t="s">
        <v>176</v>
      </c>
      <c r="G3" t="s">
        <v>180</v>
      </c>
      <c r="H3" t="s">
        <v>183</v>
      </c>
      <c r="I3" t="s">
        <v>186</v>
      </c>
    </row>
    <row r="4" spans="1:9">
      <c r="A4" t="s">
        <v>157</v>
      </c>
      <c r="B4" t="s">
        <v>161</v>
      </c>
      <c r="C4" t="s">
        <v>165</v>
      </c>
      <c r="D4" t="s">
        <v>169</v>
      </c>
      <c r="E4" t="s">
        <v>173</v>
      </c>
      <c r="F4" t="s">
        <v>177</v>
      </c>
      <c r="G4" t="s">
        <v>181</v>
      </c>
      <c r="H4" t="s">
        <v>183</v>
      </c>
      <c r="I4" t="s">
        <v>187</v>
      </c>
    </row>
    <row r="5" spans="1:9">
      <c r="A5" t="s">
        <v>158</v>
      </c>
      <c r="B5" t="s">
        <v>162</v>
      </c>
      <c r="C5" t="s">
        <v>166</v>
      </c>
      <c r="D5" t="s">
        <v>170</v>
      </c>
      <c r="E5" t="s">
        <v>174</v>
      </c>
      <c r="F5" t="s">
        <v>178</v>
      </c>
      <c r="G5" t="s">
        <v>182</v>
      </c>
      <c r="H5" t="s">
        <v>184</v>
      </c>
      <c r="I5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4" width="18.7109375" customWidth="1"/>
    <col min="5" max="5" width="51.7109375" customWidth="1"/>
  </cols>
  <sheetData>
    <row r="1" spans="1:5">
      <c r="A1" s="1" t="s">
        <v>49</v>
      </c>
      <c r="B1" s="1" t="s">
        <v>50</v>
      </c>
      <c r="C1" s="1" t="s">
        <v>189</v>
      </c>
      <c r="D1" s="1" t="s">
        <v>190</v>
      </c>
      <c r="E1" s="1" t="s">
        <v>51</v>
      </c>
    </row>
    <row r="2" spans="1:5">
      <c r="A2" t="s">
        <v>191</v>
      </c>
      <c r="B2">
        <v>-0.2</v>
      </c>
      <c r="C2">
        <v>-0.5</v>
      </c>
      <c r="D2">
        <v>-0.1</v>
      </c>
      <c r="E2" t="s">
        <v>210</v>
      </c>
    </row>
    <row r="3" spans="1:5">
      <c r="A3" t="s">
        <v>192</v>
      </c>
      <c r="B3">
        <v>1.25</v>
      </c>
      <c r="C3">
        <v>1</v>
      </c>
      <c r="D3">
        <v>1.5</v>
      </c>
      <c r="E3" t="s">
        <v>211</v>
      </c>
    </row>
    <row r="4" spans="1:5">
      <c r="A4" t="s">
        <v>193</v>
      </c>
      <c r="B4">
        <v>0.4</v>
      </c>
      <c r="C4">
        <v>0.2</v>
      </c>
      <c r="D4">
        <v>0.6</v>
      </c>
      <c r="E4" t="s">
        <v>212</v>
      </c>
    </row>
    <row r="5" spans="1:5">
      <c r="A5" t="s">
        <v>194</v>
      </c>
      <c r="B5">
        <v>0.85</v>
      </c>
      <c r="C5">
        <v>0.6</v>
      </c>
      <c r="D5">
        <v>0.95</v>
      </c>
      <c r="E5" t="s">
        <v>213</v>
      </c>
    </row>
    <row r="6" spans="1:5">
      <c r="A6" t="s">
        <v>195</v>
      </c>
      <c r="B6">
        <v>0.75</v>
      </c>
      <c r="C6">
        <v>0.5</v>
      </c>
      <c r="D6">
        <v>0.95</v>
      </c>
      <c r="E6" t="s">
        <v>214</v>
      </c>
    </row>
    <row r="7" spans="1:5">
      <c r="A7" t="s">
        <v>196</v>
      </c>
      <c r="B7">
        <v>0.05</v>
      </c>
      <c r="C7">
        <v>0.01</v>
      </c>
      <c r="D7">
        <v>0.1</v>
      </c>
      <c r="E7" t="s">
        <v>215</v>
      </c>
    </row>
    <row r="8" spans="1:5">
      <c r="A8" t="s">
        <v>197</v>
      </c>
      <c r="B8">
        <v>0.1</v>
      </c>
      <c r="C8">
        <v>0.05</v>
      </c>
      <c r="D8">
        <v>0.2</v>
      </c>
      <c r="E8" t="s">
        <v>216</v>
      </c>
    </row>
    <row r="9" spans="1:5">
      <c r="A9" t="s">
        <v>198</v>
      </c>
      <c r="B9">
        <v>-2.5</v>
      </c>
      <c r="C9">
        <v>-5</v>
      </c>
      <c r="D9">
        <v>-1</v>
      </c>
      <c r="E9" t="s">
        <v>217</v>
      </c>
    </row>
    <row r="10" spans="1:5">
      <c r="A10" t="s">
        <v>199</v>
      </c>
      <c r="B10">
        <v>3</v>
      </c>
      <c r="C10">
        <v>1</v>
      </c>
      <c r="D10">
        <v>5</v>
      </c>
      <c r="E10" t="s">
        <v>218</v>
      </c>
    </row>
    <row r="11" spans="1:5">
      <c r="A11" t="s">
        <v>200</v>
      </c>
      <c r="B11">
        <v>1</v>
      </c>
      <c r="C11">
        <v>0.5</v>
      </c>
      <c r="D11">
        <v>2</v>
      </c>
      <c r="E11" t="s">
        <v>219</v>
      </c>
    </row>
    <row r="12" spans="1:5">
      <c r="A12" t="s">
        <v>201</v>
      </c>
      <c r="B12">
        <v>0.5</v>
      </c>
      <c r="C12">
        <v>0.25</v>
      </c>
      <c r="D12">
        <v>1</v>
      </c>
      <c r="E12" t="s">
        <v>220</v>
      </c>
    </row>
    <row r="13" spans="1:5">
      <c r="A13" t="s">
        <v>202</v>
      </c>
      <c r="B13">
        <v>0.5</v>
      </c>
      <c r="C13">
        <v>0.25</v>
      </c>
      <c r="D13">
        <v>1</v>
      </c>
      <c r="E13" t="s">
        <v>221</v>
      </c>
    </row>
    <row r="14" spans="1:5">
      <c r="A14" t="s">
        <v>203</v>
      </c>
      <c r="B14">
        <v>0.02</v>
      </c>
      <c r="C14">
        <v>0.01</v>
      </c>
      <c r="D14">
        <v>0.05</v>
      </c>
      <c r="E14" t="s">
        <v>222</v>
      </c>
    </row>
    <row r="15" spans="1:5">
      <c r="A15" t="s">
        <v>204</v>
      </c>
      <c r="B15">
        <v>-0.03</v>
      </c>
      <c r="C15">
        <v>-0.05</v>
      </c>
      <c r="D15">
        <v>-0.01</v>
      </c>
      <c r="E15" t="s">
        <v>223</v>
      </c>
    </row>
    <row r="16" spans="1:5">
      <c r="A16" t="s">
        <v>205</v>
      </c>
      <c r="B16">
        <v>-0.05</v>
      </c>
      <c r="C16">
        <v>-0.1</v>
      </c>
      <c r="D16">
        <v>-0.02</v>
      </c>
      <c r="E16" t="s">
        <v>224</v>
      </c>
    </row>
    <row r="17" spans="1:5">
      <c r="A17" t="s">
        <v>206</v>
      </c>
      <c r="B17">
        <v>5</v>
      </c>
      <c r="C17">
        <v>3</v>
      </c>
      <c r="D17">
        <v>10</v>
      </c>
      <c r="E17" t="s">
        <v>225</v>
      </c>
    </row>
    <row r="18" spans="1:5">
      <c r="A18" t="s">
        <v>207</v>
      </c>
      <c r="B18">
        <v>2</v>
      </c>
      <c r="C18">
        <v>0</v>
      </c>
      <c r="D18">
        <v>5</v>
      </c>
      <c r="E18" t="s">
        <v>226</v>
      </c>
    </row>
    <row r="19" spans="1:5">
      <c r="A19" t="s">
        <v>208</v>
      </c>
      <c r="B19">
        <v>20</v>
      </c>
      <c r="C19">
        <v>15</v>
      </c>
      <c r="D19">
        <v>35</v>
      </c>
      <c r="E19" t="s">
        <v>227</v>
      </c>
    </row>
    <row r="20" spans="1:5">
      <c r="A20" t="s">
        <v>209</v>
      </c>
      <c r="B20">
        <v>10</v>
      </c>
      <c r="C20">
        <v>6</v>
      </c>
      <c r="D20">
        <v>20</v>
      </c>
      <c r="E20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8.7109375" customWidth="1"/>
    <col min="3" max="3" width="24.7109375" customWidth="1"/>
  </cols>
  <sheetData>
    <row r="1" spans="1:3">
      <c r="A1" s="1" t="s">
        <v>229</v>
      </c>
      <c r="B1" s="1" t="s">
        <v>230</v>
      </c>
      <c r="C1" s="1" t="s">
        <v>51</v>
      </c>
    </row>
    <row r="2" spans="1:3">
      <c r="A2" t="s">
        <v>231</v>
      </c>
      <c r="B2">
        <v>0</v>
      </c>
      <c r="C2" t="s">
        <v>234</v>
      </c>
    </row>
    <row r="3" spans="1:3">
      <c r="A3" t="s">
        <v>232</v>
      </c>
      <c r="B3">
        <v>0</v>
      </c>
      <c r="C3" t="s">
        <v>235</v>
      </c>
    </row>
    <row r="4" spans="1:3">
      <c r="A4" t="s">
        <v>233</v>
      </c>
      <c r="B4">
        <v>0</v>
      </c>
      <c r="C4" t="s">
        <v>236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3" width="18.7109375" customWidth="1"/>
    <col min="4" max="4" width="19.7109375" customWidth="1"/>
    <col min="5" max="8" width="18.7109375" customWidth="1"/>
  </cols>
  <sheetData>
    <row r="1" spans="1:8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</row>
    <row r="2" spans="1:8">
      <c r="A2" t="s">
        <v>245</v>
      </c>
      <c r="B2">
        <v>0</v>
      </c>
      <c r="C2" t="s">
        <v>249</v>
      </c>
      <c r="D2" t="s">
        <v>253</v>
      </c>
      <c r="E2" t="s">
        <v>256</v>
      </c>
      <c r="F2" t="s">
        <v>260</v>
      </c>
      <c r="G2" t="s">
        <v>263</v>
      </c>
      <c r="H2" t="s">
        <v>266</v>
      </c>
    </row>
    <row r="3" spans="1:8">
      <c r="A3" t="s">
        <v>246</v>
      </c>
      <c r="B3">
        <v>0</v>
      </c>
      <c r="C3" t="s">
        <v>250</v>
      </c>
      <c r="D3" t="s">
        <v>254</v>
      </c>
      <c r="E3" t="s">
        <v>257</v>
      </c>
    </row>
    <row r="4" spans="1:8">
      <c r="A4" t="s">
        <v>247</v>
      </c>
      <c r="B4">
        <v>0</v>
      </c>
      <c r="C4" t="s">
        <v>251</v>
      </c>
      <c r="D4" t="s">
        <v>255</v>
      </c>
      <c r="E4" t="s">
        <v>258</v>
      </c>
      <c r="F4" t="s">
        <v>261</v>
      </c>
      <c r="G4" t="s">
        <v>264</v>
      </c>
    </row>
    <row r="5" spans="1:8">
      <c r="A5" t="s">
        <v>248</v>
      </c>
      <c r="B5">
        <v>0</v>
      </c>
      <c r="C5" t="s">
        <v>252</v>
      </c>
      <c r="D5" t="s">
        <v>250</v>
      </c>
      <c r="E5" t="s">
        <v>259</v>
      </c>
      <c r="F5" t="s">
        <v>262</v>
      </c>
      <c r="G5" t="s">
        <v>265</v>
      </c>
      <c r="H5" t="s">
        <v>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36.7109375" customWidth="1"/>
  </cols>
  <sheetData>
    <row r="1" spans="1:3">
      <c r="A1" s="1" t="s">
        <v>268</v>
      </c>
      <c r="B1" s="1" t="s">
        <v>116</v>
      </c>
      <c r="C1" s="1" t="s">
        <v>51</v>
      </c>
    </row>
    <row r="2" spans="1:3">
      <c r="A2" t="s">
        <v>252</v>
      </c>
      <c r="B2">
        <v>0.75</v>
      </c>
      <c r="C2" t="s">
        <v>271</v>
      </c>
    </row>
    <row r="3" spans="1:3">
      <c r="A3" t="s">
        <v>259</v>
      </c>
      <c r="B3">
        <v>1</v>
      </c>
      <c r="C3" t="s">
        <v>272</v>
      </c>
    </row>
    <row r="4" spans="1:3">
      <c r="A4" t="s">
        <v>262</v>
      </c>
      <c r="B4">
        <v>0</v>
      </c>
      <c r="C4" t="s">
        <v>273</v>
      </c>
    </row>
    <row r="5" spans="1:3">
      <c r="A5" t="s">
        <v>250</v>
      </c>
      <c r="B5">
        <v>3</v>
      </c>
      <c r="C5" t="s">
        <v>274</v>
      </c>
    </row>
    <row r="6" spans="1:3">
      <c r="A6" t="s">
        <v>269</v>
      </c>
      <c r="B6">
        <v>0</v>
      </c>
      <c r="C6" t="s">
        <v>275</v>
      </c>
    </row>
    <row r="7" spans="1:3">
      <c r="A7" t="s">
        <v>267</v>
      </c>
      <c r="B7">
        <v>2</v>
      </c>
      <c r="C7" t="s">
        <v>276</v>
      </c>
    </row>
    <row r="8" spans="1:3">
      <c r="A8" t="s">
        <v>270</v>
      </c>
      <c r="B8">
        <v>1</v>
      </c>
      <c r="C8" t="s">
        <v>277</v>
      </c>
    </row>
    <row r="9" spans="1:3">
      <c r="A9" t="s">
        <v>251</v>
      </c>
      <c r="B9">
        <v>6</v>
      </c>
      <c r="C9" t="s">
        <v>278</v>
      </c>
    </row>
    <row r="10" spans="1:3">
      <c r="A10" t="s">
        <v>255</v>
      </c>
      <c r="B10">
        <v>0.25</v>
      </c>
      <c r="C10" t="s">
        <v>279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80.7109375" customWidth="1"/>
    <col min="3" max="3" width="36.7109375" customWidth="1"/>
  </cols>
  <sheetData>
    <row r="1" spans="1:3">
      <c r="A1" s="1" t="s">
        <v>268</v>
      </c>
      <c r="B1" s="1" t="s">
        <v>230</v>
      </c>
      <c r="C1" s="1" t="s">
        <v>51</v>
      </c>
    </row>
    <row r="2" spans="1:3">
      <c r="A2" t="s">
        <v>280</v>
      </c>
      <c r="B2" cm="1">
        <f t="array" ref="B2">IFERROR(_xlfn.XLOOKUP("Expected Requests / Day",'[Follower_Tasks_And_Requests_System_Spec_Wired_LiveAndChart.xlsx]Computed_Metrics_Wired'!$A:$A,'[Follower_Tasks_And_Requests_System_Spec_Wired_LiveAndChart.xlsx]Computed_Metrics_Wired'!$B:$B,0),"")</f>
        <v>0</v>
      </c>
      <c r="C2" t="s">
        <v>282</v>
      </c>
    </row>
    <row r="3" spans="1:3">
      <c r="A3" t="s">
        <v>281</v>
      </c>
      <c r="B3">
        <f>IFERROR(SUM('[Rituals_And_Altar_System_Spec_Wired_WithCharts_Sliders_Threshold_Feast.xlsx]Costs_Live'!$I:$I),"")</f>
        <v>0</v>
      </c>
      <c r="C3" t="s">
        <v>283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2" t="s">
        <v>284</v>
      </c>
    </row>
    <row r="2" spans="1:5">
      <c r="A2" s="3" t="s">
        <v>252</v>
      </c>
      <c r="B2" s="4" cm="1">
        <f t="array" ref="B2">_xlfn.XLOOKUP("AvgContentment",Harmony_Inputs!$A:$A,Harmony_Inputs!$B:$B,0)</f>
        <v>0</v>
      </c>
      <c r="D2" s="1" t="s">
        <v>248</v>
      </c>
      <c r="E2">
        <f>ROUND( B2*50 + B5*2 + B8*2 - B3*3 - B4*5 - B6*2 + B7*3 , 0)</f>
        <v>0</v>
      </c>
    </row>
    <row r="3" spans="1:5">
      <c r="A3" s="3" t="s">
        <v>259</v>
      </c>
      <c r="B3" s="4" cm="1">
        <f t="array" ref="B3">_xlfn.XLOOKUP("Leaks",Harmony_Inputs!$A:$A,Harmony_Inputs!$B:$B,0)</f>
        <v>0</v>
      </c>
    </row>
    <row r="4" spans="1:5">
      <c r="A4" s="3" t="s">
        <v>262</v>
      </c>
      <c r="B4" s="4" cm="1">
        <f t="array" ref="B4">_xlfn.XLOOKUP("Rot",Harmony_Inputs!$A:$A,Harmony_Inputs!$B:$B,0)</f>
        <v>0</v>
      </c>
      <c r="D4" s="1" t="s">
        <v>285</v>
      </c>
      <c r="E4" s="1" t="s">
        <v>286</v>
      </c>
    </row>
    <row r="5" spans="1:5">
      <c r="A5" s="3" t="s">
        <v>250</v>
      </c>
      <c r="B5" s="4" cm="1">
        <f t="array" ref="B5">_xlfn.XLOOKUP("RequestsDone",Harmony_Inputs!$A:$A,Harmony_Inputs!$B:$B,0)</f>
        <v>0</v>
      </c>
      <c r="D5">
        <f>IF(E2&gt;=80,"Calm",IF(E2&gt;=60,"Steady",IF(E2&gt;=40,"Wobbly","Frayed")))</f>
        <v>0</v>
      </c>
      <c r="E5">
        <f>IF(D5="Calm","Peace, for now.",IF(D5="Steady","We held together.",IF(D5="Wobbly","A near thing.","Barely holding on.")))</f>
        <v>0</v>
      </c>
    </row>
    <row r="6" spans="1:5">
      <c r="A6" s="3" t="s">
        <v>269</v>
      </c>
      <c r="B6" s="4" cm="1">
        <f t="array" ref="B6">_xlfn.XLOOKUP("RequestsIgnored",Harmony_Inputs!$A:$A,Harmony_Inputs!$B:$B,0)</f>
        <v>0</v>
      </c>
    </row>
    <row r="7" spans="1:5">
      <c r="A7" s="3" t="s">
        <v>267</v>
      </c>
      <c r="B7" s="4" cm="1">
        <f t="array" ref="B7">_xlfn.XLOOKUP("AvgBond",Harmony_Inputs!$A:$A,Harmony_Inputs!$B:$B,0)</f>
        <v>0</v>
      </c>
      <c r="D7" s="1" t="s">
        <v>287</v>
      </c>
      <c r="E7">
        <f>B9*(1+B10)</f>
        <v>0</v>
      </c>
    </row>
    <row r="8" spans="1:5">
      <c r="A8" s="3" t="s">
        <v>270</v>
      </c>
      <c r="B8" s="4" cm="1">
        <f t="array" ref="B8">_xlfn.XLOOKUP("NightCleansed",Harmony_Inputs!$A:$A,Harmony_Inputs!$B:$B,0)</f>
        <v>0</v>
      </c>
    </row>
    <row r="9" spans="1:5">
      <c r="A9" s="3" t="s">
        <v>251</v>
      </c>
      <c r="B9" s="4" cm="1">
        <f t="array" ref="B9">_xlfn.XLOOKUP("RitualGrace",Harmony_Inputs!$A:$A,Harmony_Inputs!$B:$B,0)</f>
        <v>0</v>
      </c>
    </row>
    <row r="10" spans="1:5">
      <c r="A10" t="s">
        <v>292</v>
      </c>
      <c r="B10" s="4" cm="1">
        <f t="array" ref="B10">_xlfn.XLOOKUP("HarmonyBonus",Harmony_Inputs!$A:$A,Harmony_Inputs!$B:$B,0)</f>
        <v>0</v>
      </c>
    </row>
    <row r="11" spans="1:5">
      <c r="A11" t="s">
        <v>293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288</v>
      </c>
      <c r="B1" s="1" t="s">
        <v>289</v>
      </c>
      <c r="C1" s="1" t="s">
        <v>290</v>
      </c>
    </row>
    <row r="2" spans="1:3">
      <c r="A2" s="5" t="s">
        <v>288</v>
      </c>
      <c r="B2" s="5" t="s">
        <v>289</v>
      </c>
      <c r="C2">
        <f>'Harmony_Dashboard'!B2*50</f>
        <v>0</v>
      </c>
    </row>
    <row r="3" spans="1:3">
      <c r="A3" t="s">
        <v>291</v>
      </c>
      <c r="B3">
        <v>50</v>
      </c>
      <c r="C3">
        <f>'Harmony_Dashboard'!B5*2</f>
        <v>0</v>
      </c>
    </row>
    <row r="4" spans="1:3">
      <c r="A4" t="s">
        <v>250</v>
      </c>
      <c r="B4">
        <v>2</v>
      </c>
      <c r="C4">
        <f>'Harmony_Dashboard'!B8*2</f>
        <v>0</v>
      </c>
    </row>
    <row r="5" spans="1:3">
      <c r="A5" t="s">
        <v>270</v>
      </c>
      <c r="B5">
        <v>2</v>
      </c>
      <c r="C5">
        <f>'Harmony_Dashboard'!B3*(-3)</f>
        <v>0</v>
      </c>
    </row>
    <row r="6" spans="1:3">
      <c r="A6" t="s">
        <v>259</v>
      </c>
      <c r="B6">
        <v>-3</v>
      </c>
      <c r="C6">
        <f>'Harmony_Dashboard'!B4*(-5)</f>
        <v>0</v>
      </c>
    </row>
    <row r="7" spans="1:3">
      <c r="A7" t="s">
        <v>262</v>
      </c>
      <c r="B7">
        <v>-5</v>
      </c>
      <c r="C7">
        <f>'Harmony_Dashboard'!B6*(-2)</f>
        <v>0</v>
      </c>
    </row>
    <row r="8" spans="1:3">
      <c r="A8" t="s">
        <v>269</v>
      </c>
      <c r="B8">
        <v>-2</v>
      </c>
      <c r="C8">
        <f>'Harmony_Dashboard'!B7*3</f>
        <v>0</v>
      </c>
    </row>
    <row r="9" spans="1:3">
      <c r="A9" t="s">
        <v>267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Core_Flow</vt:lpstr>
      <vt:lpstr>Contentment_Model</vt:lpstr>
      <vt:lpstr>Bond_Model</vt:lpstr>
      <vt:lpstr>Grace_Model</vt:lpstr>
      <vt:lpstr>Daily_Harmony</vt:lpstr>
      <vt:lpstr>Interactions</vt:lpstr>
      <vt:lpstr>Hooks</vt:lpstr>
      <vt:lpstr>Tuning_Defaults</vt:lpstr>
      <vt:lpstr>External_Links</vt:lpstr>
      <vt:lpstr>Computed_Metrics</vt:lpstr>
      <vt:lpstr>Harmony_Inputs</vt:lpstr>
      <vt:lpstr>External_Data</vt:lpstr>
      <vt:lpstr>Harmony_Dashboard</vt:lpstr>
      <vt:lpstr>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2025-11-01T03:16:20Z</dcterms:created>
  <dcterms:modified xsi:type="dcterms:W3CDTF">2025-11-01T03:16:20Z</dcterms:modified>
</cp:coreProperties>
</file>