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esktop/"/>
    </mc:Choice>
  </mc:AlternateContent>
  <xr:revisionPtr revIDLastSave="0" documentId="13_ncr:1_{A7A2E976-F710-514C-B282-E99D0C05B0F0}" xr6:coauthVersionLast="47" xr6:coauthVersionMax="47" xr10:uidLastSave="{00000000-0000-0000-0000-000000000000}"/>
  <bookViews>
    <workbookView xWindow="240" yWindow="760" windowWidth="30000" windowHeight="17200" activeTab="8" xr2:uid="{00000000-000D-0000-FFFF-FFFF00000000}"/>
  </bookViews>
  <sheets>
    <sheet name="Resources" sheetId="1" r:id="rId1"/>
    <sheet name="Buildings" sheetId="2" r:id="rId2"/>
    <sheet name="Emotional_Systems" sheetId="3" r:id="rId3"/>
    <sheet name="Crafting_Chains" sheetId="4" r:id="rId4"/>
    <sheet name="Economy_Flowchart" sheetId="5" r:id="rId5"/>
    <sheet name="Legend" sheetId="6" r:id="rId6"/>
    <sheet name="Seeds" sheetId="7" r:id="rId7"/>
    <sheet name="Garden_Outputs" sheetId="8" r:id="rId8"/>
    <sheet name="Globals" sheetId="9" r:id="rId9"/>
    <sheet name="Computed_Metric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0" l="1"/>
  <c r="F26" i="10"/>
  <c r="F25" i="10"/>
  <c r="F24" i="10"/>
  <c r="H23" i="10"/>
  <c r="F23" i="10"/>
  <c r="H22" i="10"/>
  <c r="F22" i="10"/>
  <c r="H21" i="10"/>
  <c r="F21" i="10"/>
  <c r="H20" i="10"/>
  <c r="F20" i="10"/>
  <c r="H19" i="10"/>
  <c r="F19" i="10"/>
  <c r="I14" i="10"/>
  <c r="H14" i="10"/>
  <c r="G14" i="10"/>
  <c r="F14" i="10"/>
  <c r="I13" i="10"/>
  <c r="H13" i="10"/>
  <c r="G13" i="10"/>
  <c r="F13" i="10"/>
  <c r="J12" i="10"/>
  <c r="I12" i="10"/>
  <c r="H12" i="10"/>
  <c r="G12" i="10"/>
  <c r="F12" i="10"/>
  <c r="J11" i="10"/>
  <c r="I11" i="10"/>
  <c r="H11" i="10"/>
  <c r="G11" i="10"/>
  <c r="F11" i="10"/>
  <c r="H27" i="10" s="1"/>
  <c r="J10" i="10"/>
  <c r="I10" i="10"/>
  <c r="H10" i="10"/>
  <c r="G10" i="10"/>
  <c r="F10" i="10"/>
  <c r="H26" i="10" s="1"/>
  <c r="J9" i="10"/>
  <c r="I9" i="10"/>
  <c r="H9" i="10"/>
  <c r="J14" i="10" s="1"/>
  <c r="G9" i="10"/>
  <c r="F9" i="10"/>
  <c r="H25" i="10" s="1"/>
  <c r="J8" i="10"/>
  <c r="I8" i="10"/>
  <c r="H8" i="10"/>
  <c r="J13" i="10" s="1"/>
  <c r="G8" i="10"/>
  <c r="F8" i="10"/>
  <c r="H24" i="10" s="1"/>
  <c r="B4" i="10"/>
  <c r="B3" i="10"/>
  <c r="B2" i="10"/>
</calcChain>
</file>

<file path=xl/sharedStrings.xml><?xml version="1.0" encoding="utf-8"?>
<sst xmlns="http://schemas.openxmlformats.org/spreadsheetml/2006/main" count="619" uniqueCount="482">
  <si>
    <t>Resource</t>
  </si>
  <si>
    <t>Acquired From</t>
  </si>
  <si>
    <t>Description</t>
  </si>
  <si>
    <t>Used For</t>
  </si>
  <si>
    <t>Refines Into</t>
  </si>
  <si>
    <t>Timber</t>
  </si>
  <si>
    <t>Rock</t>
  </si>
  <si>
    <t>Boards</t>
  </si>
  <si>
    <t>Bricks</t>
  </si>
  <si>
    <t>Token Shards</t>
  </si>
  <si>
    <t>Tokens</t>
  </si>
  <si>
    <t>Medallions</t>
  </si>
  <si>
    <t>Remains</t>
  </si>
  <si>
    <t>Essence</t>
  </si>
  <si>
    <t>Grace</t>
  </si>
  <si>
    <t>Bond</t>
  </si>
  <si>
    <t>Spirit</t>
  </si>
  <si>
    <t>Ectoplasm</t>
  </si>
  <si>
    <t>Appetite</t>
  </si>
  <si>
    <t>Flicker</t>
  </si>
  <si>
    <t>Unrest</t>
  </si>
  <si>
    <t>Manifest</t>
  </si>
  <si>
    <t>Temperament System</t>
  </si>
  <si>
    <t>Afflictions</t>
  </si>
  <si>
    <t>Decay Pressure</t>
  </si>
  <si>
    <t>Mementos</t>
  </si>
  <si>
    <t>Memoria</t>
  </si>
  <si>
    <t>Relic Fragments</t>
  </si>
  <si>
    <t>Charms</t>
  </si>
  <si>
    <t>Cloth</t>
  </si>
  <si>
    <t>Glass</t>
  </si>
  <si>
    <t>Wax</t>
  </si>
  <si>
    <t>Collect from dead trees, Spirits assigned to Sawmill, Found in shards (Memory World) from fallen buildings or wooden wreckage.</t>
  </si>
  <si>
    <t>Harvest from stones or gravestones around the base, Spirits assigned to Quarry, found in shards from collapsed ruins or altars.</t>
  </si>
  <si>
    <t>Crafted at Workshop (3–5 Timber per Board).</t>
  </si>
  <si>
    <t>Crafted at Workshop (3–5 Rock per Brick).</t>
  </si>
  <si>
    <t>Dungeons, Mines.</t>
  </si>
  <si>
    <t>Dungeons, followers, sales.</t>
  </si>
  <si>
    <t>Crafted from Token Shards (10 Shards = 1 Token, 10 Tokens = 1 Medallion).</t>
  </si>
  <si>
    <t>Dungeon runs, banished ghosts, ritual aftermath.</t>
  </si>
  <si>
    <t>Generated passively by happy ghosts or found in dungeons.</t>
  </si>
  <si>
    <t>Earned by performing rituals or releasing ghosts peacefully.</t>
  </si>
  <si>
    <t>Increases through ghost interactions: gifting, conversation, fulfilling requests.</t>
  </si>
  <si>
    <t>Bound during rituals or rescued in dungeons.</t>
  </si>
  <si>
    <t>Produced during Manifest events or defeating Manifesting ghosts.</t>
  </si>
  <si>
    <t>Passive decay per day; restored by feeding Offerings or Ectofruit.</t>
  </si>
  <si>
    <t>From overworking ghosts or ignoring rest cycles.</t>
  </si>
  <si>
    <t>Triggered when multiple ghosts lose Contentment simultaneously.</t>
  </si>
  <si>
    <t>Low Contentment or hunger; unstable spirits leak Essence.</t>
  </si>
  <si>
    <t>Predefined per ghost on spawn.</t>
  </si>
  <si>
    <t>Result of stress, corruption, or exposure to Manifest zones.</t>
  </si>
  <si>
    <t>Passage of time; older ghosts decay faster.</t>
  </si>
  <si>
    <t>Earned from happy spirits and base harmony.</t>
  </si>
  <si>
    <t>Peacefully released ghosts.</t>
  </si>
  <si>
    <t>Dropped by defeated Wraiths and Bosses.</t>
  </si>
  <si>
    <t>Crafted at the Relic Forge using Relic Fragments.</t>
  </si>
  <si>
    <t>Made from ghost threads or salvaged shrouds.</t>
  </si>
  <si>
    <t>Salvaged from lanterns, jars, or ruins.</t>
  </si>
  <si>
    <t>Harvested from melted candles and ritual drippings.</t>
  </si>
  <si>
    <t>Your basic organic building resource. Salvaged planks, beams, and scrap wood gathered from the environment or produced by follower tasks.</t>
  </si>
  <si>
    <t>A basic sturdy building material gathered from old ruins and broken gravestones. Heavy and reliable; spirits collect it over time, or you can harvest large chunks while exploring.</t>
  </si>
  <si>
    <t>Processed Timber: clean, cut, reinforced planks for higher quality construction. Crafted by spirits handling carpentry.</t>
  </si>
  <si>
    <t>Refined Rock: shaped and hardened building blocks for durable structures. Represents high-tier durability material.</t>
  </si>
  <si>
    <t>Small cracked bits of old currency; worth little alone but can be reforged.</t>
  </si>
  <si>
    <t>The standard currency. Heavy metal coins used by the dead to trade, repair, and pay for rituals.</t>
  </si>
  <si>
    <t>Refined, high-value currency.</t>
  </si>
  <si>
    <t>Fragments and ash left behind after spirits pass, are banished, or defeated.</t>
  </si>
  <si>
    <t>Emotional energy produced by content spirits doing tasks. Used for upgrades, repairs, and rituals.</t>
  </si>
  <si>
    <t>Currency for your upgrade tree — unlock new buildings, rituals, and systems.</t>
  </si>
  <si>
    <t>Represents your personal connection to each ghost. Influences productivity and stability.</t>
  </si>
  <si>
    <t>Each ghost you care for; they perform tasks, produce Essence, and have unique temperaments.</t>
  </si>
  <si>
    <t>The byproduct of Manifest events; gooey residue of leaking emotion.</t>
  </si>
  <si>
    <t>How long ghosts remain stable before acting out. Low Appetite causes unrest and erratic behavior.</t>
  </si>
  <si>
    <t>Represents emotional burnout; overworked ghosts flicker and slow tasks.</t>
  </si>
  <si>
    <t>The revolt state — when multiple spirits begin acting out and vandalizing.</t>
  </si>
  <si>
    <t>Death isn’t tidy — leaking ghosts leave ectoplasm that decays morale if ignored.</t>
  </si>
  <si>
    <t>Defines ghost behavior style (Mournful, Trickster, Spiteful, Cold, Fanatic, etc.).</t>
  </si>
  <si>
    <t>Emotional or metaphysical breakdowns — require treatment or rituals.</t>
  </si>
  <si>
    <t>Longer a ghost stays, the harder they are to keep stable. Increases challenge curve.</t>
  </si>
  <si>
    <t>Small personal items from peaceful ghosts; open Dungeon Runs.</t>
  </si>
  <si>
    <t>Prestige resource representing remembrance and closure.</t>
  </si>
  <si>
    <t>Fragments of emotion and memory used for crafting relics and charms.</t>
  </si>
  <si>
    <t>Small talismans imbued with ghostly memory; gifted to spirits.</t>
  </si>
  <si>
    <t>Soft material with spectral shimmer, used for decoration and comfort items.</t>
  </si>
  <si>
    <t>Transparent and fragile; used for lighting, ritual implements.</t>
  </si>
  <si>
    <t>Sticky, renewable resource for lighting and luxury items.</t>
  </si>
  <si>
    <t>Early and mid-tier constructions, decorations, repairs. Refined later for higher tier constructions.</t>
  </si>
  <si>
    <t>Core construction of foundation, paths, and sturdy structures. Repairs after ghosts damage buildings. Upgrades that require stronger material.</t>
  </si>
  <si>
    <t>Upgraded structures, decorations, repairs.</t>
  </si>
  <si>
    <t>High-tier buildings and decorative structures.</t>
  </si>
  <si>
    <t>Refined at the workshop to make full Tokens or Medallions.</t>
  </si>
  <si>
    <t>General purchases, structure upgrades, decorations, and rituals.</t>
  </si>
  <si>
    <t>Major building upgrades, rare trades, and high-tier rituals.</t>
  </si>
  <si>
    <t>Fuel for rituals, potion catalyst, crafting material for ash-based items.</t>
  </si>
  <si>
    <t>Upgrades, crafting, rituals, Grace conversion.</t>
  </si>
  <si>
    <t>Upgrade tree progression, feature unlocks.</t>
  </si>
  <si>
    <t>Improves work efficiency and prevents unrest spread.</t>
  </si>
  <si>
    <t>Central to every system: Essence production, tasks, morale, and narrative arcs.</t>
  </si>
  <si>
    <t>Fertilizer for Garden of Rest, potion ingredient, crafting reagent.</t>
  </si>
  <si>
    <t>Feeding and emotional stability management.</t>
  </si>
  <si>
    <t>Determines rest and recovery needs for ghosts.</t>
  </si>
  <si>
    <t>Cleansing rituals, repairs, and mood recovery.</t>
  </si>
  <si>
    <t>Clean-up gameplay loop, Ectoplasm farming.</t>
  </si>
  <si>
    <t>AI logic, task modification, emergent base chaos.</t>
  </si>
  <si>
    <t>Warded Chamber healing, ritual cleansing.</t>
  </si>
  <si>
    <t>Forces rotation of ghosts, emotional management loop.</t>
  </si>
  <si>
    <t>Required for dungeon access; each run consumes one.</t>
  </si>
  <si>
    <t>Permanent upgrades, shrine construction, narrative progression.</t>
  </si>
  <si>
    <t>Crafted into Charms at the Relic Forge.</t>
  </si>
  <si>
    <t>Modify Temperament effects, stabilize moods, grant small perks.</t>
  </si>
  <si>
    <t>Beds, banners, decorative items.</t>
  </si>
  <si>
    <t>Lamps, ritual tools, decorative objects.</t>
  </si>
  <si>
    <t>Candle crafting, lighting fixtures, decor.</t>
  </si>
  <si>
    <t>Building</t>
  </si>
  <si>
    <t>Unlock Timing</t>
  </si>
  <si>
    <t>Sawmill</t>
  </si>
  <si>
    <t>Quarry</t>
  </si>
  <si>
    <t>Workshop</t>
  </si>
  <si>
    <t>Storage</t>
  </si>
  <si>
    <t>Relic Forge</t>
  </si>
  <si>
    <t>Alchemy Table</t>
  </si>
  <si>
    <t>Produces Timber over time.</t>
  </si>
  <si>
    <t>Produces Rock over time.</t>
  </si>
  <si>
    <t>Converts raw materials into refined forms (Boards/Bricks).</t>
  </si>
  <si>
    <t>Stores excess materials safely.</t>
  </si>
  <si>
    <t>Forges Charms from Relic Fragments.</t>
  </si>
  <si>
    <t>Brews Potions using Ectoplasm, Essence, and Remains.</t>
  </si>
  <si>
    <t>Early-Game. Foundation for the economy.</t>
  </si>
  <si>
    <t>Early-Game. Complements Sawmill.</t>
  </si>
  <si>
    <t>Mid-Game upgrade.</t>
  </si>
  <si>
    <t>Mid-Game convenience structure.</t>
  </si>
  <si>
    <t>Core-Game progression.</t>
  </si>
  <si>
    <t>Mid to Late-Game system.</t>
  </si>
  <si>
    <t>System</t>
  </si>
  <si>
    <t>Acquired / Triggered By</t>
  </si>
  <si>
    <t>Contentment</t>
  </si>
  <si>
    <t>Release &amp; Banishing</t>
  </si>
  <si>
    <t>Requests</t>
  </si>
  <si>
    <t>Raised by feeding, soothing, storytelling, and giving gifts.</t>
  </si>
  <si>
    <t>Produced by Content ghosts or collected from dungeons.</t>
  </si>
  <si>
    <t>Gained from rituals and releasing ghosts peacefully.</t>
  </si>
  <si>
    <t>Grows through conversation, gifting, rescuing ghosts in runs.</t>
  </si>
  <si>
    <t>Bound through Altar rituals or rescued from dungeons.</t>
  </si>
  <si>
    <t>Manifest events and enemy drops.</t>
  </si>
  <si>
    <t>Passively decreases each day; restored by feeding Offerings/Ectofruit.</t>
  </si>
  <si>
    <t>Overwork and emotional neglect.</t>
  </si>
  <si>
    <t>Triggered by low Contentment across multiple ghosts.</t>
  </si>
  <si>
    <t>Low Contentment or neglect.</t>
  </si>
  <si>
    <t>Assigned on spawn; static per ghost.</t>
  </si>
  <si>
    <t>Stress or corruption exposure.</t>
  </si>
  <si>
    <t>Altar choice upon ghost departure.</t>
  </si>
  <si>
    <t>Long-term presence of ghosts.</t>
  </si>
  <si>
    <t>Given by happy ghosts or stable base harmony.</t>
  </si>
  <si>
    <t>Banished ghosts, dungeon drops, rituals.</t>
  </si>
  <si>
    <t>Peaceful release of ghosts.</t>
  </si>
  <si>
    <t>Randomly triggered by bonded ghosts.</t>
  </si>
  <si>
    <t>Dropped from Wraiths and bosses.</t>
  </si>
  <si>
    <t>Crafted from Relic Fragments at the Forge.</t>
  </si>
  <si>
    <t>Represents emotional stability of spirits. Low Contentment leads to hauntings, sabotage, and rebellion.</t>
  </si>
  <si>
    <t>Emotional energy produced by content spirits doing tasks.</t>
  </si>
  <si>
    <t>Currency for upgrade tree — new buildings, rituals, and systems.</t>
  </si>
  <si>
    <t>Represents relationship strength with each ghost; small buffs for productivity and temperament control.</t>
  </si>
  <si>
    <t>Each ghost you care for; performs tasks, produces Essence, and has a unique temperament.</t>
  </si>
  <si>
    <t>Byproduct of emotional instability; sticky residue of leaking Essence.</t>
  </si>
  <si>
    <t>Measures how long ghosts stay calm before unrest.</t>
  </si>
  <si>
    <t>Represents burnout. Spirits slow tasks and lose mood faster.</t>
  </si>
  <si>
    <t>Collective revolt event — vandalism, hauntings, chaos.</t>
  </si>
  <si>
    <t>Spirits physically leak Essence as ectoplasm, lowering morale if ignored.</t>
  </si>
  <si>
    <t>Defines behavior archetype (Mournful, Trickster, Spiteful, Cold, Fanatic, etc.).</t>
  </si>
  <si>
    <t>Metaphysical sickness (Echo Fever, Hollow Rot, Lament Loop).</t>
  </si>
  <si>
    <t>Release happy ghosts for rewards or banish unhappy ones.</t>
  </si>
  <si>
    <t>Increases Contentment decay over time; harder upkeep for older spirits.</t>
  </si>
  <si>
    <t>Personal items used to open Dungeon Shards.</t>
  </si>
  <si>
    <t>Ashes of the dead; death-loop currency.</t>
  </si>
  <si>
    <t>Prestige currency symbolizing remembrance.</t>
  </si>
  <si>
    <t>Emotional favors that create emergent stories.</t>
  </si>
  <si>
    <t>Fragments of emotion and memory.</t>
  </si>
  <si>
    <t>Talismans given to ghosts to influence their stats.</t>
  </si>
  <si>
    <t>Feeds Essence generation, determines Memento rate, prevents Unrest.</t>
  </si>
  <si>
    <t>Used for upgrades, repairs, rituals, and Grace generation.</t>
  </si>
  <si>
    <t>Progression gating and upgrade economy.</t>
  </si>
  <si>
    <t>Affects work reliability, request frequency, and event chains.</t>
  </si>
  <si>
    <t>Central to all systems: production, morale, dungeon runs.</t>
  </si>
  <si>
    <t>Used for Garden fertilizer, potions, rituals, and crafting.</t>
  </si>
  <si>
    <t>Feeding ghosts, restoring stability, preventing Manifest.</t>
  </si>
  <si>
    <t>Encourages pacing, assigning rest or low-stress jobs.</t>
  </si>
  <si>
    <t>Managed through rituals, soothing actions, and repairs.</t>
  </si>
  <si>
    <t>Cleaning loop, resource generation, visual storytelling.</t>
  </si>
  <si>
    <t>Drives AI quirks, conflicts, and base drama.</t>
  </si>
  <si>
    <t>Treatment in Warded Chamber or cleansing ritual.</t>
  </si>
  <si>
    <t>Creates moral tension, resource tradeoffs, and narrative variety.</t>
  </si>
  <si>
    <t>Forces rotation, pacing, and emotional balance.</t>
  </si>
  <si>
    <t>Dungeon gating mechanic; 1 consumed per run.</t>
  </si>
  <si>
    <t>Used in rituals and potion crafting.</t>
  </si>
  <si>
    <t>Meta progression and permanent upgrades.</t>
  </si>
  <si>
    <t>Increases Bond, yields Grace and Essence rewards.</t>
  </si>
  <si>
    <t>Craft Charms via Relic Forge.</t>
  </si>
  <si>
    <t>Permanent buffs and mood stabilizers.</t>
  </si>
  <si>
    <t>Input</t>
  </si>
  <si>
    <t>Output</t>
  </si>
  <si>
    <t>Conversion / Ratio</t>
  </si>
  <si>
    <t>Created At</t>
  </si>
  <si>
    <t>Flowers</t>
  </si>
  <si>
    <t>Offerings</t>
  </si>
  <si>
    <t>Structures</t>
  </si>
  <si>
    <t>Ritual Fuel / Potions</t>
  </si>
  <si>
    <t>Fertilizer / Potions</t>
  </si>
  <si>
    <t>Appetite Restoration</t>
  </si>
  <si>
    <t>Upgrades / Unlocks</t>
  </si>
  <si>
    <t>Permanent Bonuses</t>
  </si>
  <si>
    <t>3–5 Timber per Board</t>
  </si>
  <si>
    <t>3–5 Rock per Brick</t>
  </si>
  <si>
    <t>Used as component</t>
  </si>
  <si>
    <t>10 Shards per Token</t>
  </si>
  <si>
    <t>10 Tokens per Medallion</t>
  </si>
  <si>
    <t>Spend Essence via Rituals</t>
  </si>
  <si>
    <t>Consumed in crafting or rituals</t>
  </si>
  <si>
    <t>Used as catalyst or fertilizer</t>
  </si>
  <si>
    <t>3–5 Fragments per Charm</t>
  </si>
  <si>
    <t>Harvested from Garden of Rest</t>
  </si>
  <si>
    <t>Direct consumption</t>
  </si>
  <si>
    <t>Spent in upgrade menu</t>
  </si>
  <si>
    <t>Automatically stored</t>
  </si>
  <si>
    <t>Workshop/Construction</t>
  </si>
  <si>
    <t>Altar</t>
  </si>
  <si>
    <t>Altar / Alchemy Table</t>
  </si>
  <si>
    <t>Garden / Alchemy</t>
  </si>
  <si>
    <t>Garden</t>
  </si>
  <si>
    <t>Player Interaction</t>
  </si>
  <si>
    <t>Upgrade Tree</t>
  </si>
  <si>
    <t>Meta Progression</t>
  </si>
  <si>
    <t>Building upgrades, decor, and repairs</t>
  </si>
  <si>
    <t>High-tier building construction</t>
  </si>
  <si>
    <t>Improved durability buildings</t>
  </si>
  <si>
    <t>Permanent or luxury buildings</t>
  </si>
  <si>
    <t>Currency refinement</t>
  </si>
  <si>
    <t>High-value trades and rituals</t>
  </si>
  <si>
    <t>Upgrade tree unlocks</t>
  </si>
  <si>
    <t>Cleansing, potions, upgrades</t>
  </si>
  <si>
    <t>Improved yields and potion stability</t>
  </si>
  <si>
    <t>Follower buffs</t>
  </si>
  <si>
    <t>Feeding and decorative usage</t>
  </si>
  <si>
    <t>Contentment maintenance</t>
  </si>
  <si>
    <t>Buildings, rituals, and new systems</t>
  </si>
  <si>
    <t>Passive endgame boosts</t>
  </si>
  <si>
    <t>Resource Loop</t>
  </si>
  <si>
    <t>Flow Path</t>
  </si>
  <si>
    <t>Category</t>
  </si>
  <si>
    <t>Purpose / Design Notes</t>
  </si>
  <si>
    <t>Timber Loop</t>
  </si>
  <si>
    <t>Rock Loop</t>
  </si>
  <si>
    <t>Essence Loop</t>
  </si>
  <si>
    <t>Remains Loop</t>
  </si>
  <si>
    <t>Mementos Loop</t>
  </si>
  <si>
    <t>Token Loop</t>
  </si>
  <si>
    <t>Ectoplasm Loop</t>
  </si>
  <si>
    <t>Relic Loop</t>
  </si>
  <si>
    <t>Garden Loop</t>
  </si>
  <si>
    <t>Bond Loop</t>
  </si>
  <si>
    <t>Grace Loop</t>
  </si>
  <si>
    <t>Timber → Boards → Structures</t>
  </si>
  <si>
    <t>Rock → Bricks → Structures</t>
  </si>
  <si>
    <t>Essence → Grace → Upgrades</t>
  </si>
  <si>
    <t>Remains → Potions / Rituals → Grace</t>
  </si>
  <si>
    <t>Mementos → Dungeon Runs → Essence / Remains</t>
  </si>
  <si>
    <t>Token Shards → Tokens → Medallions → Upgrades / Rituals</t>
  </si>
  <si>
    <t>Manifest → Ectoplasm → Fertilizer / Potions</t>
  </si>
  <si>
    <t>Relic Fragments → Charms → Ghost Buffs</t>
  </si>
  <si>
    <t>Flowers → Offerings → Feed Spirits → Contentment → Essence</t>
  </si>
  <si>
    <t>Requests → Bond → Productivity / Stability</t>
  </si>
  <si>
    <t>Grace → Unlocks → Better Systems → More Contentment</t>
  </si>
  <si>
    <t>Material</t>
  </si>
  <si>
    <t>Emotional</t>
  </si>
  <si>
    <t>Crafting</t>
  </si>
  <si>
    <t>Currency</t>
  </si>
  <si>
    <t>Core building loop: establishes foundational construction economy.</t>
  </si>
  <si>
    <t>Heavy, durable economy; pairs with Timber for balanced pacing.</t>
  </si>
  <si>
    <t>Spiritual feedback loop; happiness creates progress.</t>
  </si>
  <si>
    <t>Death → renewal; loss fuels care and advancement.</t>
  </si>
  <si>
    <t>Harmony enables exploration, exploration reinforces harmony.</t>
  </si>
  <si>
    <t>Economic loop; converts exploration reward into high-tier value.</t>
  </si>
  <si>
    <t>Chaos recycling: cleaning unrest yields growth potential.</t>
  </si>
  <si>
    <t>Dungeon mastery; victory becomes permanent emotional support.</t>
  </si>
  <si>
    <t>Daily care cycle; nurturing yields both joy and productivity.</t>
  </si>
  <si>
    <t>Relationship economy; emotional investment yields efficiency.</t>
  </si>
  <si>
    <t>Meta progression; compassion strengthens sanctuary systems.</t>
  </si>
  <si>
    <t>Color Description</t>
  </si>
  <si>
    <t>Each 'Flow Path' visually represents resource refinement and emotional feedback chains.</t>
  </si>
  <si>
    <t>This sheet serves as the visual design map for production economy relationships.</t>
  </si>
  <si>
    <t>Material Loop Color</t>
  </si>
  <si>
    <t>Crafting Loop Color</t>
  </si>
  <si>
    <t>Currency Loop Color</t>
  </si>
  <si>
    <t>Emotional Loop Color</t>
  </si>
  <si>
    <t>SeedID</t>
  </si>
  <si>
    <t>Seed Name</t>
  </si>
  <si>
    <t>Produces PlantID</t>
  </si>
  <si>
    <t>Base Cost Tokens</t>
  </si>
  <si>
    <t>Base Cost Essence</t>
  </si>
  <si>
    <t>Required Remains</t>
  </si>
  <si>
    <t>Unlocked At (Upgrade/Quest)</t>
  </si>
  <si>
    <t>Preferred Temperaments</t>
  </si>
  <si>
    <t>Notes</t>
  </si>
  <si>
    <t>SEED_WHISPERBLOOM</t>
  </si>
  <si>
    <t>SEED_GRIEFROOT</t>
  </si>
  <si>
    <t>SEED_MIRTHPETAL</t>
  </si>
  <si>
    <t>SEED_FORGETMEBUD</t>
  </si>
  <si>
    <t>SEED_ASHBLOSSOM</t>
  </si>
  <si>
    <t>SEED_KINDLEFERN</t>
  </si>
  <si>
    <t>SEED_LAMENT_LILY</t>
  </si>
  <si>
    <t>SEED_WRAITHVINE</t>
  </si>
  <si>
    <t>SEED_PEACEBUD</t>
  </si>
  <si>
    <t>Whisperbloom Seed</t>
  </si>
  <si>
    <t>Griefroot Thorn</t>
  </si>
  <si>
    <t>Mirthpetal Bulb</t>
  </si>
  <si>
    <t>Forget‑Me‑Bud Pod</t>
  </si>
  <si>
    <t>Ashblossom Ash</t>
  </si>
  <si>
    <t>Kindlefern Spore</t>
  </si>
  <si>
    <t>Lament Lily Rhizome</t>
  </si>
  <si>
    <t>Wraithvine Spine</t>
  </si>
  <si>
    <t>Peacebud Sigil</t>
  </si>
  <si>
    <t>WHISPERBLOOM</t>
  </si>
  <si>
    <t>GRIEFROOT</t>
  </si>
  <si>
    <t>MIRTHPETAL</t>
  </si>
  <si>
    <t>FORGETMEBUD</t>
  </si>
  <si>
    <t>ASHBLOSSOM</t>
  </si>
  <si>
    <t>KINDLEFERN</t>
  </si>
  <si>
    <t>LAMENT_LILY</t>
  </si>
  <si>
    <t>WRAITHVINE</t>
  </si>
  <si>
    <t>PEACEBUD</t>
  </si>
  <si>
    <t>Garden Tier 1</t>
  </si>
  <si>
    <t>Garden Tier 2</t>
  </si>
  <si>
    <t>Quest: Cursed Soil</t>
  </si>
  <si>
    <t>Global Harmony Event</t>
  </si>
  <si>
    <t>Mournful / Bright</t>
  </si>
  <si>
    <t>Stoic / Cold</t>
  </si>
  <si>
    <t>Bright / Trickster</t>
  </si>
  <si>
    <t>Mournful / Stoic</t>
  </si>
  <si>
    <t>Cold / Stoic</t>
  </si>
  <si>
    <t>Fanatic / Bright</t>
  </si>
  <si>
    <t>Mournful / —</t>
  </si>
  <si>
    <t>All</t>
  </si>
  <si>
    <t>Starter seed; soothing baseline.</t>
  </si>
  <si>
    <t>Grows faster near unhappy ghosts; low-risk rot.</t>
  </si>
  <si>
    <t>Boosts Bond; synergizes with Charms of Mirth.</t>
  </si>
  <si>
    <t>Supports Grace gain over time.</t>
  </si>
  <si>
    <t>Consumes Remains; yields Essence + Remains.</t>
  </si>
  <si>
    <t>Small Grace &amp; Ectofruit synergy.</t>
  </si>
  <si>
    <t>Sleep &amp; Flicker recovery aura.</t>
  </si>
  <si>
    <t>High risk/high reward potion base.</t>
  </si>
  <si>
    <t>Not buyable; triggers at 90%+ Contentment.</t>
  </si>
  <si>
    <t>OutputID</t>
  </si>
  <si>
    <t>Source PlantID</t>
  </si>
  <si>
    <t>Output Name</t>
  </si>
  <si>
    <t>Quantity</t>
  </si>
  <si>
    <t>Unit Type</t>
  </si>
  <si>
    <t>Use Case</t>
  </si>
  <si>
    <t>Consumed By</t>
  </si>
  <si>
    <t>Base Value (Tokens)</t>
  </si>
  <si>
    <t>Alt Use</t>
  </si>
  <si>
    <t>OUT_WHISPERBLOOM_FLOWER</t>
  </si>
  <si>
    <t>OUT_GRIEFROOT_THORNS</t>
  </si>
  <si>
    <t>OUT_GRIEFROOT_RESIN</t>
  </si>
  <si>
    <t>OUT_MIRTHPETAL_BUNDLE</t>
  </si>
  <si>
    <t>OUT_FORGETME_PETAL</t>
  </si>
  <si>
    <t>OUT_ASHBLOSSOM_PETAL</t>
  </si>
  <si>
    <t>OUT_ASH_SHARD</t>
  </si>
  <si>
    <t>OUT_ECTOFRUIT</t>
  </si>
  <si>
    <t>OUT_KINDLE_FREND</t>
  </si>
  <si>
    <t>OUT_LAMENT_NECTAR</t>
  </si>
  <si>
    <t>OUT_WRAITH_RESIN</t>
  </si>
  <si>
    <t>OUT_PEACE_PETAL</t>
  </si>
  <si>
    <t>ECTOFRUIT</t>
  </si>
  <si>
    <t>Whisperbloom Flower</t>
  </si>
  <si>
    <t>Griefroot Thorns</t>
  </si>
  <si>
    <t>Sorrow Resin</t>
  </si>
  <si>
    <t>Mirthpetal Bundle</t>
  </si>
  <si>
    <t>Memory Petal</t>
  </si>
  <si>
    <t>Ash Petal</t>
  </si>
  <si>
    <t>Ash Shard</t>
  </si>
  <si>
    <t>Ectofruit</t>
  </si>
  <si>
    <t>Kindle Frond</t>
  </si>
  <si>
    <t>Lily Nectar</t>
  </si>
  <si>
    <t>Wraith Resin</t>
  </si>
  <si>
    <t>Peace Petal</t>
  </si>
  <si>
    <t>Item</t>
  </si>
  <si>
    <t>Bundle</t>
  </si>
  <si>
    <t>Consumable</t>
  </si>
  <si>
    <t>Vial</t>
  </si>
  <si>
    <t>Relic</t>
  </si>
  <si>
    <t>Offering (feed)</t>
  </si>
  <si>
    <t>Potion: Thorn Tonic (defense buff)</t>
  </si>
  <si>
    <t>Charm crafting binder</t>
  </si>
  <si>
    <t>Charm: Mirth set</t>
  </si>
  <si>
    <t>Ritual: Memory Circle (+Grace)</t>
  </si>
  <si>
    <t>Alchemy (Essence distill)</t>
  </si>
  <si>
    <t>High-tier Charm core</t>
  </si>
  <si>
    <t>Instant 100% Appetite restoration</t>
  </si>
  <si>
    <t>Ritual incense, +Grace aura</t>
  </si>
  <si>
    <t>Potion: Lullaby Mist</t>
  </si>
  <si>
    <t>Potion: Shadowguard / high-tier</t>
  </si>
  <si>
    <t>Permanent +1 Contentment cap</t>
  </si>
  <si>
    <t>Appetite System</t>
  </si>
  <si>
    <t>Potions</t>
  </si>
  <si>
    <t>Rituals</t>
  </si>
  <si>
    <t>Meta/Grace</t>
  </si>
  <si>
    <t>Potion: Calm Tea</t>
  </si>
  <si>
    <t>Charm: Restraint Core</t>
  </si>
  <si>
    <t>VFX resin for rituals</t>
  </si>
  <si>
    <t>Potion: Joy Draft (Bond gain +)</t>
  </si>
  <si>
    <t>Charm: Memory Locket</t>
  </si>
  <si>
    <t>Ritual: Cleansing</t>
  </si>
  <si>
    <t>Sell for Tokens</t>
  </si>
  <si>
    <t>Potion: Radiant Sap</t>
  </si>
  <si>
    <t>Potion: Warm Draught</t>
  </si>
  <si>
    <t>Decor: Sleep Sachet</t>
  </si>
  <si>
    <t>Charm: Nightwatcher</t>
  </si>
  <si>
    <t>One-time relic</t>
  </si>
  <si>
    <t>Soothing ingredient; boosts Contentment on feed.</t>
  </si>
  <si>
    <t>Small rot risk if over-fertilized.</t>
  </si>
  <si>
    <t>Dropped on harvest.</t>
  </si>
  <si>
    <t>Pairs well with Tricksters.</t>
  </si>
  <si>
    <t>Stacks for Grace multipliers.</t>
  </si>
  <si>
    <t>Synergy with Remains.</t>
  </si>
  <si>
    <t>Rare proc on harvest.</t>
  </si>
  <si>
    <t>Only from fertilize proc; single-use.</t>
  </si>
  <si>
    <t>Boosts neighbor Ectofruit chance.</t>
  </si>
  <si>
    <t>Good for long nights.</t>
  </si>
  <si>
    <t>Risky to farm.</t>
  </si>
  <si>
    <t>Triggers Festival visuals.</t>
  </si>
  <si>
    <t>Parameter</t>
  </si>
  <si>
    <t>Value</t>
  </si>
  <si>
    <t>growth_tick_seconds</t>
  </si>
  <si>
    <t>hours_active_per_day</t>
  </si>
  <si>
    <t>base_ectofruit_chance</t>
  </si>
  <si>
    <t>fertilize_bonus_per_stack</t>
  </si>
  <si>
    <t>fertilize_stacks</t>
  </si>
  <si>
    <t>harmony_multiplier</t>
  </si>
  <si>
    <t>fertilized_flag</t>
  </si>
  <si>
    <t>token_value_per_essence</t>
  </si>
  <si>
    <t>token_value_per_remain</t>
  </si>
  <si>
    <t>Seconds per plant growth tick</t>
  </si>
  <si>
    <t>Hours with growth/day</t>
  </si>
  <si>
    <t>Base proc chance for Ectofruit</t>
  </si>
  <si>
    <t>Chance increase per fertilize stack</t>
  </si>
  <si>
    <t># of fertilize applications</t>
  </si>
  <si>
    <t>Multiplier for harmony effects (1=baseline)</t>
  </si>
  <si>
    <t>1=Fertilized, 0=Not fertilized</t>
  </si>
  <si>
    <t>Token value of 1 Essence</t>
  </si>
  <si>
    <t>Token value of 1 Remain</t>
  </si>
  <si>
    <t>Formula (Excel)</t>
  </si>
  <si>
    <t>Ticks per Day</t>
  </si>
  <si>
    <t>Ectofruit Proc Chance (given stacks)</t>
  </si>
  <si>
    <t>Expected Ectofruit per Day (per bed)</t>
  </si>
  <si>
    <t>PlantID</t>
  </si>
  <si>
    <t>BaseChance</t>
  </si>
  <si>
    <t>FertilizeBonus</t>
  </si>
  <si>
    <t>FertilizeStacks</t>
  </si>
  <si>
    <t>Fertilized(0/1)</t>
  </si>
  <si>
    <t>GrowthTickSec</t>
  </si>
  <si>
    <t>HoursActive</t>
  </si>
  <si>
    <t>TicksPerDay</t>
  </si>
  <si>
    <t>ProcChance</t>
  </si>
  <si>
    <t>ExpEctofruit/Day</t>
  </si>
  <si>
    <t>Soothing bloom</t>
  </si>
  <si>
    <t>Grows faster near unhappy ghosts</t>
  </si>
  <si>
    <t>Bond booster</t>
  </si>
  <si>
    <t>Grace trickle</t>
  </si>
  <si>
    <t>No Ectofruit; yields Essence/Remains</t>
  </si>
  <si>
    <t>Grace + Ectofruit synergy</t>
  </si>
  <si>
    <t>Sleep support</t>
  </si>
  <si>
    <t>Token Cost</t>
  </si>
  <si>
    <t>Essence Cost</t>
  </si>
  <si>
    <t>Remains Cost</t>
  </si>
  <si>
    <t>Value/Harvest (Tokens)</t>
  </si>
  <si>
    <t>Est. Harvests/Day</t>
  </si>
  <si>
    <t>Est. Token ROI/Day</t>
  </si>
  <si>
    <t>Adjust Harvests/Day as you tune growth &amp; bed count.</t>
  </si>
  <si>
    <t>Computed Metrics — Garden of Rest</t>
  </si>
  <si>
    <t>token_value_per_timber</t>
  </si>
  <si>
    <t>Token value per 1 Timber (economy wiring)</t>
  </si>
  <si>
    <t>token_value_per_rock</t>
  </si>
  <si>
    <t>Token value per 1 Rock (economy wiring)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</si>
</sst>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sqref="A1:F1048576"/>
    </sheetView>
  </sheetViews>
  <sheetFormatPr baseColWidth="10" defaultColWidth="8.83203125" defaultRowHeight="15" x14ac:dyDescent="0.2"/>
  <cols>
    <col min="1" max="1" width="17.5" bestFit="1" customWidth="1"/>
    <col min="2" max="2" width="99.6640625" bestFit="1" customWidth="1"/>
    <col min="3" max="3" width="136" bestFit="1" customWidth="1"/>
    <col min="4" max="4" width="110.33203125" bestFit="1" customWidth="1"/>
    <col min="5" max="5" width="10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32</v>
      </c>
      <c r="C2" t="s">
        <v>59</v>
      </c>
      <c r="D2" t="s">
        <v>86</v>
      </c>
      <c r="E2" t="s">
        <v>7</v>
      </c>
    </row>
    <row r="3" spans="1:5" x14ac:dyDescent="0.2">
      <c r="A3" t="s">
        <v>6</v>
      </c>
      <c r="B3" t="s">
        <v>33</v>
      </c>
      <c r="C3" t="s">
        <v>60</v>
      </c>
      <c r="D3" t="s">
        <v>87</v>
      </c>
      <c r="E3" t="s">
        <v>8</v>
      </c>
    </row>
    <row r="4" spans="1:5" x14ac:dyDescent="0.2">
      <c r="A4" t="s">
        <v>7</v>
      </c>
      <c r="B4" t="s">
        <v>34</v>
      </c>
      <c r="C4" t="s">
        <v>61</v>
      </c>
      <c r="D4" t="s">
        <v>88</v>
      </c>
    </row>
    <row r="5" spans="1:5" x14ac:dyDescent="0.2">
      <c r="A5" t="s">
        <v>8</v>
      </c>
      <c r="B5" t="s">
        <v>35</v>
      </c>
      <c r="C5" t="s">
        <v>62</v>
      </c>
      <c r="D5" t="s">
        <v>89</v>
      </c>
    </row>
    <row r="6" spans="1:5" x14ac:dyDescent="0.2">
      <c r="A6" t="s">
        <v>9</v>
      </c>
      <c r="B6" t="s">
        <v>36</v>
      </c>
      <c r="C6" t="s">
        <v>63</v>
      </c>
      <c r="D6" t="s">
        <v>90</v>
      </c>
      <c r="E6" t="s">
        <v>10</v>
      </c>
    </row>
    <row r="7" spans="1:5" x14ac:dyDescent="0.2">
      <c r="A7" t="s">
        <v>10</v>
      </c>
      <c r="B7" t="s">
        <v>37</v>
      </c>
      <c r="C7" t="s">
        <v>64</v>
      </c>
      <c r="D7" t="s">
        <v>91</v>
      </c>
      <c r="E7" t="s">
        <v>11</v>
      </c>
    </row>
    <row r="8" spans="1:5" x14ac:dyDescent="0.2">
      <c r="A8" t="s">
        <v>11</v>
      </c>
      <c r="B8" t="s">
        <v>38</v>
      </c>
      <c r="C8" t="s">
        <v>65</v>
      </c>
      <c r="D8" t="s">
        <v>92</v>
      </c>
    </row>
    <row r="9" spans="1:5" x14ac:dyDescent="0.2">
      <c r="A9" t="s">
        <v>12</v>
      </c>
      <c r="B9" t="s">
        <v>39</v>
      </c>
      <c r="C9" t="s">
        <v>66</v>
      </c>
      <c r="D9" t="s">
        <v>93</v>
      </c>
    </row>
    <row r="10" spans="1:5" x14ac:dyDescent="0.2">
      <c r="A10" t="s">
        <v>13</v>
      </c>
      <c r="B10" t="s">
        <v>40</v>
      </c>
      <c r="C10" t="s">
        <v>67</v>
      </c>
      <c r="D10" t="s">
        <v>94</v>
      </c>
    </row>
    <row r="11" spans="1:5" x14ac:dyDescent="0.2">
      <c r="A11" t="s">
        <v>14</v>
      </c>
      <c r="B11" t="s">
        <v>41</v>
      </c>
      <c r="C11" t="s">
        <v>68</v>
      </c>
      <c r="D11" t="s">
        <v>95</v>
      </c>
    </row>
    <row r="12" spans="1:5" x14ac:dyDescent="0.2">
      <c r="A12" t="s">
        <v>15</v>
      </c>
      <c r="B12" t="s">
        <v>42</v>
      </c>
      <c r="C12" t="s">
        <v>69</v>
      </c>
      <c r="D12" t="s">
        <v>96</v>
      </c>
    </row>
    <row r="13" spans="1:5" x14ac:dyDescent="0.2">
      <c r="A13" t="s">
        <v>16</v>
      </c>
      <c r="B13" t="s">
        <v>43</v>
      </c>
      <c r="C13" t="s">
        <v>70</v>
      </c>
      <c r="D13" t="s">
        <v>97</v>
      </c>
    </row>
    <row r="14" spans="1:5" x14ac:dyDescent="0.2">
      <c r="A14" t="s">
        <v>17</v>
      </c>
      <c r="B14" t="s">
        <v>44</v>
      </c>
      <c r="C14" t="s">
        <v>71</v>
      </c>
      <c r="D14" t="s">
        <v>98</v>
      </c>
    </row>
    <row r="15" spans="1:5" x14ac:dyDescent="0.2">
      <c r="A15" t="s">
        <v>18</v>
      </c>
      <c r="B15" t="s">
        <v>45</v>
      </c>
      <c r="C15" t="s">
        <v>72</v>
      </c>
      <c r="D15" t="s">
        <v>99</v>
      </c>
    </row>
    <row r="16" spans="1:5" x14ac:dyDescent="0.2">
      <c r="A16" t="s">
        <v>19</v>
      </c>
      <c r="B16" t="s">
        <v>46</v>
      </c>
      <c r="C16" t="s">
        <v>73</v>
      </c>
      <c r="D16" t="s">
        <v>100</v>
      </c>
    </row>
    <row r="17" spans="1:5" x14ac:dyDescent="0.2">
      <c r="A17" t="s">
        <v>20</v>
      </c>
      <c r="B17" t="s">
        <v>47</v>
      </c>
      <c r="C17" t="s">
        <v>74</v>
      </c>
      <c r="D17" t="s">
        <v>101</v>
      </c>
    </row>
    <row r="18" spans="1:5" x14ac:dyDescent="0.2">
      <c r="A18" t="s">
        <v>21</v>
      </c>
      <c r="B18" t="s">
        <v>48</v>
      </c>
      <c r="C18" t="s">
        <v>75</v>
      </c>
      <c r="D18" t="s">
        <v>102</v>
      </c>
    </row>
    <row r="19" spans="1:5" x14ac:dyDescent="0.2">
      <c r="A19" t="s">
        <v>22</v>
      </c>
      <c r="B19" t="s">
        <v>49</v>
      </c>
      <c r="C19" t="s">
        <v>76</v>
      </c>
      <c r="D19" t="s">
        <v>103</v>
      </c>
    </row>
    <row r="20" spans="1:5" x14ac:dyDescent="0.2">
      <c r="A20" t="s">
        <v>23</v>
      </c>
      <c r="B20" t="s">
        <v>50</v>
      </c>
      <c r="C20" t="s">
        <v>77</v>
      </c>
      <c r="D20" t="s">
        <v>104</v>
      </c>
    </row>
    <row r="21" spans="1:5" x14ac:dyDescent="0.2">
      <c r="A21" t="s">
        <v>24</v>
      </c>
      <c r="B21" t="s">
        <v>51</v>
      </c>
      <c r="C21" t="s">
        <v>78</v>
      </c>
      <c r="D21" t="s">
        <v>105</v>
      </c>
    </row>
    <row r="22" spans="1:5" x14ac:dyDescent="0.2">
      <c r="A22" t="s">
        <v>25</v>
      </c>
      <c r="B22" t="s">
        <v>52</v>
      </c>
      <c r="C22" t="s">
        <v>79</v>
      </c>
      <c r="D22" t="s">
        <v>106</v>
      </c>
    </row>
    <row r="23" spans="1:5" x14ac:dyDescent="0.2">
      <c r="A23" t="s">
        <v>26</v>
      </c>
      <c r="B23" t="s">
        <v>53</v>
      </c>
      <c r="C23" t="s">
        <v>80</v>
      </c>
      <c r="D23" t="s">
        <v>107</v>
      </c>
    </row>
    <row r="24" spans="1:5" x14ac:dyDescent="0.2">
      <c r="A24" t="s">
        <v>27</v>
      </c>
      <c r="B24" t="s">
        <v>54</v>
      </c>
      <c r="C24" t="s">
        <v>81</v>
      </c>
      <c r="D24" t="s">
        <v>108</v>
      </c>
      <c r="E24" t="s">
        <v>28</v>
      </c>
    </row>
    <row r="25" spans="1:5" x14ac:dyDescent="0.2">
      <c r="A25" t="s">
        <v>28</v>
      </c>
      <c r="B25" t="s">
        <v>55</v>
      </c>
      <c r="C25" t="s">
        <v>82</v>
      </c>
      <c r="D25" t="s">
        <v>109</v>
      </c>
    </row>
    <row r="26" spans="1:5" x14ac:dyDescent="0.2">
      <c r="A26" t="s">
        <v>29</v>
      </c>
      <c r="B26" t="s">
        <v>56</v>
      </c>
      <c r="C26" t="s">
        <v>83</v>
      </c>
      <c r="D26" t="s">
        <v>110</v>
      </c>
    </row>
    <row r="27" spans="1:5" x14ac:dyDescent="0.2">
      <c r="A27" t="s">
        <v>30</v>
      </c>
      <c r="B27" t="s">
        <v>57</v>
      </c>
      <c r="C27" t="s">
        <v>84</v>
      </c>
      <c r="D27" t="s">
        <v>111</v>
      </c>
    </row>
    <row r="28" spans="1:5" x14ac:dyDescent="0.2">
      <c r="A28" t="s">
        <v>31</v>
      </c>
      <c r="B28" t="s">
        <v>58</v>
      </c>
      <c r="C28" t="s">
        <v>85</v>
      </c>
      <c r="D28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113</v>
      </c>
      <c r="B1" s="1" t="s">
        <v>2</v>
      </c>
      <c r="C1" s="1" t="s">
        <v>114</v>
      </c>
    </row>
    <row r="2" spans="1:3" x14ac:dyDescent="0.2">
      <c r="A2" t="s">
        <v>115</v>
      </c>
      <c r="B2" t="s">
        <v>121</v>
      </c>
      <c r="C2" t="s">
        <v>127</v>
      </c>
    </row>
    <row r="3" spans="1:3" x14ac:dyDescent="0.2">
      <c r="A3" t="s">
        <v>116</v>
      </c>
      <c r="B3" t="s">
        <v>122</v>
      </c>
      <c r="C3" t="s">
        <v>128</v>
      </c>
    </row>
    <row r="4" spans="1:3" x14ac:dyDescent="0.2">
      <c r="A4" t="s">
        <v>117</v>
      </c>
      <c r="B4" t="s">
        <v>123</v>
      </c>
      <c r="C4" t="s">
        <v>129</v>
      </c>
    </row>
    <row r="5" spans="1:3" x14ac:dyDescent="0.2">
      <c r="A5" t="s">
        <v>118</v>
      </c>
      <c r="B5" t="s">
        <v>124</v>
      </c>
      <c r="C5" t="s">
        <v>130</v>
      </c>
    </row>
    <row r="6" spans="1:3" x14ac:dyDescent="0.2">
      <c r="A6" t="s">
        <v>119</v>
      </c>
      <c r="B6" t="s">
        <v>125</v>
      </c>
      <c r="C6" t="s">
        <v>131</v>
      </c>
    </row>
    <row r="7" spans="1:3" x14ac:dyDescent="0.2">
      <c r="A7" t="s">
        <v>120</v>
      </c>
      <c r="B7" t="s">
        <v>126</v>
      </c>
      <c r="C7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17.5" bestFit="1" customWidth="1"/>
    <col min="2" max="2" width="53.5" bestFit="1" customWidth="1"/>
    <col min="3" max="3" width="81.33203125" bestFit="1" customWidth="1"/>
    <col min="4" max="4" width="54.6640625" bestFit="1" customWidth="1"/>
  </cols>
  <sheetData>
    <row r="1" spans="1:4" x14ac:dyDescent="0.2">
      <c r="A1" s="1" t="s">
        <v>133</v>
      </c>
      <c r="B1" s="1" t="s">
        <v>134</v>
      </c>
      <c r="C1" s="1" t="s">
        <v>2</v>
      </c>
      <c r="D1" s="1" t="s">
        <v>3</v>
      </c>
    </row>
    <row r="2" spans="1:4" x14ac:dyDescent="0.2">
      <c r="A2" t="s">
        <v>135</v>
      </c>
      <c r="B2" t="s">
        <v>138</v>
      </c>
      <c r="C2" t="s">
        <v>158</v>
      </c>
      <c r="D2" t="s">
        <v>178</v>
      </c>
    </row>
    <row r="3" spans="1:4" x14ac:dyDescent="0.2">
      <c r="A3" t="s">
        <v>13</v>
      </c>
      <c r="B3" t="s">
        <v>139</v>
      </c>
      <c r="C3" t="s">
        <v>159</v>
      </c>
      <c r="D3" t="s">
        <v>179</v>
      </c>
    </row>
    <row r="4" spans="1:4" x14ac:dyDescent="0.2">
      <c r="A4" t="s">
        <v>14</v>
      </c>
      <c r="B4" t="s">
        <v>140</v>
      </c>
      <c r="C4" t="s">
        <v>160</v>
      </c>
      <c r="D4" t="s">
        <v>180</v>
      </c>
    </row>
    <row r="5" spans="1:4" x14ac:dyDescent="0.2">
      <c r="A5" t="s">
        <v>15</v>
      </c>
      <c r="B5" t="s">
        <v>141</v>
      </c>
      <c r="C5" t="s">
        <v>161</v>
      </c>
      <c r="D5" t="s">
        <v>181</v>
      </c>
    </row>
    <row r="6" spans="1:4" x14ac:dyDescent="0.2">
      <c r="A6" t="s">
        <v>16</v>
      </c>
      <c r="B6" t="s">
        <v>142</v>
      </c>
      <c r="C6" t="s">
        <v>162</v>
      </c>
      <c r="D6" t="s">
        <v>182</v>
      </c>
    </row>
    <row r="7" spans="1:4" x14ac:dyDescent="0.2">
      <c r="A7" t="s">
        <v>17</v>
      </c>
      <c r="B7" t="s">
        <v>143</v>
      </c>
      <c r="C7" t="s">
        <v>163</v>
      </c>
      <c r="D7" t="s">
        <v>183</v>
      </c>
    </row>
    <row r="8" spans="1:4" x14ac:dyDescent="0.2">
      <c r="A8" t="s">
        <v>18</v>
      </c>
      <c r="B8" t="s">
        <v>144</v>
      </c>
      <c r="C8" t="s">
        <v>164</v>
      </c>
      <c r="D8" t="s">
        <v>184</v>
      </c>
    </row>
    <row r="9" spans="1:4" x14ac:dyDescent="0.2">
      <c r="A9" t="s">
        <v>19</v>
      </c>
      <c r="B9" t="s">
        <v>145</v>
      </c>
      <c r="C9" t="s">
        <v>165</v>
      </c>
      <c r="D9" t="s">
        <v>185</v>
      </c>
    </row>
    <row r="10" spans="1:4" x14ac:dyDescent="0.2">
      <c r="A10" t="s">
        <v>20</v>
      </c>
      <c r="B10" t="s">
        <v>146</v>
      </c>
      <c r="C10" t="s">
        <v>166</v>
      </c>
      <c r="D10" t="s">
        <v>186</v>
      </c>
    </row>
    <row r="11" spans="1:4" x14ac:dyDescent="0.2">
      <c r="A11" t="s">
        <v>21</v>
      </c>
      <c r="B11" t="s">
        <v>147</v>
      </c>
      <c r="C11" t="s">
        <v>167</v>
      </c>
      <c r="D11" t="s">
        <v>187</v>
      </c>
    </row>
    <row r="12" spans="1:4" x14ac:dyDescent="0.2">
      <c r="A12" t="s">
        <v>22</v>
      </c>
      <c r="B12" t="s">
        <v>148</v>
      </c>
      <c r="C12" t="s">
        <v>168</v>
      </c>
      <c r="D12" t="s">
        <v>188</v>
      </c>
    </row>
    <row r="13" spans="1:4" x14ac:dyDescent="0.2">
      <c r="A13" t="s">
        <v>23</v>
      </c>
      <c r="B13" t="s">
        <v>149</v>
      </c>
      <c r="C13" t="s">
        <v>169</v>
      </c>
      <c r="D13" t="s">
        <v>189</v>
      </c>
    </row>
    <row r="14" spans="1:4" x14ac:dyDescent="0.2">
      <c r="A14" t="s">
        <v>136</v>
      </c>
      <c r="B14" t="s">
        <v>150</v>
      </c>
      <c r="C14" t="s">
        <v>170</v>
      </c>
      <c r="D14" t="s">
        <v>190</v>
      </c>
    </row>
    <row r="15" spans="1:4" x14ac:dyDescent="0.2">
      <c r="A15" t="s">
        <v>24</v>
      </c>
      <c r="B15" t="s">
        <v>151</v>
      </c>
      <c r="C15" t="s">
        <v>171</v>
      </c>
      <c r="D15" t="s">
        <v>191</v>
      </c>
    </row>
    <row r="16" spans="1:4" x14ac:dyDescent="0.2">
      <c r="A16" t="s">
        <v>25</v>
      </c>
      <c r="B16" t="s">
        <v>152</v>
      </c>
      <c r="C16" t="s">
        <v>172</v>
      </c>
      <c r="D16" t="s">
        <v>192</v>
      </c>
    </row>
    <row r="17" spans="1:4" x14ac:dyDescent="0.2">
      <c r="A17" t="s">
        <v>12</v>
      </c>
      <c r="B17" t="s">
        <v>153</v>
      </c>
      <c r="C17" t="s">
        <v>173</v>
      </c>
      <c r="D17" t="s">
        <v>193</v>
      </c>
    </row>
    <row r="18" spans="1:4" x14ac:dyDescent="0.2">
      <c r="A18" t="s">
        <v>26</v>
      </c>
      <c r="B18" t="s">
        <v>154</v>
      </c>
      <c r="C18" t="s">
        <v>174</v>
      </c>
      <c r="D18" t="s">
        <v>194</v>
      </c>
    </row>
    <row r="19" spans="1:4" x14ac:dyDescent="0.2">
      <c r="A19" t="s">
        <v>137</v>
      </c>
      <c r="B19" t="s">
        <v>155</v>
      </c>
      <c r="C19" t="s">
        <v>175</v>
      </c>
      <c r="D19" t="s">
        <v>195</v>
      </c>
    </row>
    <row r="20" spans="1:4" x14ac:dyDescent="0.2">
      <c r="A20" t="s">
        <v>27</v>
      </c>
      <c r="B20" t="s">
        <v>156</v>
      </c>
      <c r="C20" t="s">
        <v>176</v>
      </c>
      <c r="D20" t="s">
        <v>196</v>
      </c>
    </row>
    <row r="21" spans="1:4" x14ac:dyDescent="0.2">
      <c r="A21" t="s">
        <v>28</v>
      </c>
      <c r="B21" t="s">
        <v>157</v>
      </c>
      <c r="C21" t="s">
        <v>177</v>
      </c>
      <c r="D21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3" bestFit="1" customWidth="1"/>
    <col min="2" max="2" width="17" bestFit="1" customWidth="1"/>
    <col min="3" max="3" width="24.6640625" bestFit="1" customWidth="1"/>
    <col min="4" max="4" width="19.83203125" bestFit="1" customWidth="1"/>
    <col min="5" max="5" width="29.5" bestFit="1" customWidth="1"/>
  </cols>
  <sheetData>
    <row r="1" spans="1:5" x14ac:dyDescent="0.2">
      <c r="A1" s="1" t="s">
        <v>198</v>
      </c>
      <c r="B1" s="1" t="s">
        <v>199</v>
      </c>
      <c r="C1" s="1" t="s">
        <v>200</v>
      </c>
      <c r="D1" s="1" t="s">
        <v>201</v>
      </c>
      <c r="E1" s="1" t="s">
        <v>3</v>
      </c>
    </row>
    <row r="2" spans="1:5" x14ac:dyDescent="0.2">
      <c r="A2" t="s">
        <v>5</v>
      </c>
      <c r="B2" t="s">
        <v>7</v>
      </c>
      <c r="C2" t="s">
        <v>210</v>
      </c>
      <c r="D2" t="s">
        <v>117</v>
      </c>
      <c r="E2" t="s">
        <v>231</v>
      </c>
    </row>
    <row r="3" spans="1:5" x14ac:dyDescent="0.2">
      <c r="A3" t="s">
        <v>6</v>
      </c>
      <c r="B3" t="s">
        <v>8</v>
      </c>
      <c r="C3" t="s">
        <v>211</v>
      </c>
      <c r="D3" t="s">
        <v>117</v>
      </c>
      <c r="E3" t="s">
        <v>232</v>
      </c>
    </row>
    <row r="4" spans="1:5" x14ac:dyDescent="0.2">
      <c r="A4" t="s">
        <v>7</v>
      </c>
      <c r="B4" t="s">
        <v>204</v>
      </c>
      <c r="C4" t="s">
        <v>212</v>
      </c>
      <c r="D4" t="s">
        <v>223</v>
      </c>
      <c r="E4" t="s">
        <v>233</v>
      </c>
    </row>
    <row r="5" spans="1:5" x14ac:dyDescent="0.2">
      <c r="A5" t="s">
        <v>8</v>
      </c>
      <c r="B5" t="s">
        <v>204</v>
      </c>
      <c r="C5" t="s">
        <v>212</v>
      </c>
      <c r="D5" t="s">
        <v>223</v>
      </c>
      <c r="E5" t="s">
        <v>234</v>
      </c>
    </row>
    <row r="6" spans="1:5" x14ac:dyDescent="0.2">
      <c r="A6" t="s">
        <v>9</v>
      </c>
      <c r="B6" t="s">
        <v>10</v>
      </c>
      <c r="C6" t="s">
        <v>213</v>
      </c>
      <c r="D6" t="s">
        <v>117</v>
      </c>
      <c r="E6" t="s">
        <v>235</v>
      </c>
    </row>
    <row r="7" spans="1:5" x14ac:dyDescent="0.2">
      <c r="A7" t="s">
        <v>10</v>
      </c>
      <c r="B7" t="s">
        <v>11</v>
      </c>
      <c r="C7" t="s">
        <v>214</v>
      </c>
      <c r="D7" t="s">
        <v>117</v>
      </c>
      <c r="E7" t="s">
        <v>236</v>
      </c>
    </row>
    <row r="8" spans="1:5" x14ac:dyDescent="0.2">
      <c r="A8" t="s">
        <v>13</v>
      </c>
      <c r="B8" t="s">
        <v>14</v>
      </c>
      <c r="C8" t="s">
        <v>215</v>
      </c>
      <c r="D8" t="s">
        <v>224</v>
      </c>
      <c r="E8" t="s">
        <v>237</v>
      </c>
    </row>
    <row r="9" spans="1:5" x14ac:dyDescent="0.2">
      <c r="A9" t="s">
        <v>12</v>
      </c>
      <c r="B9" t="s">
        <v>205</v>
      </c>
      <c r="C9" t="s">
        <v>216</v>
      </c>
      <c r="D9" t="s">
        <v>225</v>
      </c>
      <c r="E9" t="s">
        <v>238</v>
      </c>
    </row>
    <row r="10" spans="1:5" x14ac:dyDescent="0.2">
      <c r="A10" t="s">
        <v>17</v>
      </c>
      <c r="B10" t="s">
        <v>206</v>
      </c>
      <c r="C10" t="s">
        <v>217</v>
      </c>
      <c r="D10" t="s">
        <v>226</v>
      </c>
      <c r="E10" t="s">
        <v>239</v>
      </c>
    </row>
    <row r="11" spans="1:5" x14ac:dyDescent="0.2">
      <c r="A11" t="s">
        <v>27</v>
      </c>
      <c r="B11" t="s">
        <v>28</v>
      </c>
      <c r="C11" t="s">
        <v>218</v>
      </c>
      <c r="D11" t="s">
        <v>119</v>
      </c>
      <c r="E11" t="s">
        <v>240</v>
      </c>
    </row>
    <row r="12" spans="1:5" x14ac:dyDescent="0.2">
      <c r="A12" t="s">
        <v>202</v>
      </c>
      <c r="B12" t="s">
        <v>203</v>
      </c>
      <c r="C12" t="s">
        <v>219</v>
      </c>
      <c r="D12" t="s">
        <v>227</v>
      </c>
      <c r="E12" t="s">
        <v>241</v>
      </c>
    </row>
    <row r="13" spans="1:5" x14ac:dyDescent="0.2">
      <c r="A13" t="s">
        <v>203</v>
      </c>
      <c r="B13" t="s">
        <v>207</v>
      </c>
      <c r="C13" t="s">
        <v>220</v>
      </c>
      <c r="D13" t="s">
        <v>228</v>
      </c>
      <c r="E13" t="s">
        <v>242</v>
      </c>
    </row>
    <row r="14" spans="1:5" x14ac:dyDescent="0.2">
      <c r="A14" t="s">
        <v>14</v>
      </c>
      <c r="B14" t="s">
        <v>208</v>
      </c>
      <c r="C14" t="s">
        <v>221</v>
      </c>
      <c r="D14" t="s">
        <v>229</v>
      </c>
      <c r="E14" t="s">
        <v>243</v>
      </c>
    </row>
    <row r="15" spans="1:5" x14ac:dyDescent="0.2">
      <c r="A15" t="s">
        <v>26</v>
      </c>
      <c r="B15" t="s">
        <v>209</v>
      </c>
      <c r="C15" t="s">
        <v>222</v>
      </c>
      <c r="D15" t="s">
        <v>230</v>
      </c>
      <c r="E15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3.33203125" bestFit="1" customWidth="1"/>
    <col min="2" max="2" width="49.5" bestFit="1" customWidth="1"/>
    <col min="3" max="3" width="9" bestFit="1" customWidth="1"/>
    <col min="4" max="4" width="53.6640625" bestFit="1" customWidth="1"/>
  </cols>
  <sheetData>
    <row r="1" spans="1:4" x14ac:dyDescent="0.2">
      <c r="A1" s="1" t="s">
        <v>245</v>
      </c>
      <c r="B1" s="1" t="s">
        <v>246</v>
      </c>
      <c r="C1" s="1" t="s">
        <v>247</v>
      </c>
      <c r="D1" s="1" t="s">
        <v>248</v>
      </c>
    </row>
    <row r="2" spans="1:4" x14ac:dyDescent="0.2">
      <c r="A2" t="s">
        <v>249</v>
      </c>
      <c r="B2" t="s">
        <v>260</v>
      </c>
      <c r="C2" t="s">
        <v>271</v>
      </c>
      <c r="D2" t="s">
        <v>275</v>
      </c>
    </row>
    <row r="3" spans="1:4" x14ac:dyDescent="0.2">
      <c r="A3" t="s">
        <v>250</v>
      </c>
      <c r="B3" t="s">
        <v>261</v>
      </c>
      <c r="C3" t="s">
        <v>271</v>
      </c>
      <c r="D3" t="s">
        <v>276</v>
      </c>
    </row>
    <row r="4" spans="1:4" x14ac:dyDescent="0.2">
      <c r="A4" t="s">
        <v>251</v>
      </c>
      <c r="B4" t="s">
        <v>262</v>
      </c>
      <c r="C4" t="s">
        <v>272</v>
      </c>
      <c r="D4" t="s">
        <v>277</v>
      </c>
    </row>
    <row r="5" spans="1:4" x14ac:dyDescent="0.2">
      <c r="A5" t="s">
        <v>252</v>
      </c>
      <c r="B5" t="s">
        <v>263</v>
      </c>
      <c r="C5" t="s">
        <v>273</v>
      </c>
      <c r="D5" t="s">
        <v>278</v>
      </c>
    </row>
    <row r="6" spans="1:4" x14ac:dyDescent="0.2">
      <c r="A6" t="s">
        <v>253</v>
      </c>
      <c r="B6" t="s">
        <v>264</v>
      </c>
      <c r="C6" t="s">
        <v>272</v>
      </c>
      <c r="D6" t="s">
        <v>279</v>
      </c>
    </row>
    <row r="7" spans="1:4" x14ac:dyDescent="0.2">
      <c r="A7" t="s">
        <v>254</v>
      </c>
      <c r="B7" t="s">
        <v>265</v>
      </c>
      <c r="C7" t="s">
        <v>274</v>
      </c>
      <c r="D7" t="s">
        <v>280</v>
      </c>
    </row>
    <row r="8" spans="1:4" x14ac:dyDescent="0.2">
      <c r="A8" t="s">
        <v>255</v>
      </c>
      <c r="B8" t="s">
        <v>266</v>
      </c>
      <c r="C8" t="s">
        <v>273</v>
      </c>
      <c r="D8" t="s">
        <v>281</v>
      </c>
    </row>
    <row r="9" spans="1:4" x14ac:dyDescent="0.2">
      <c r="A9" t="s">
        <v>256</v>
      </c>
      <c r="B9" t="s">
        <v>267</v>
      </c>
      <c r="C9" t="s">
        <v>273</v>
      </c>
      <c r="D9" t="s">
        <v>282</v>
      </c>
    </row>
    <row r="10" spans="1:4" x14ac:dyDescent="0.2">
      <c r="A10" t="s">
        <v>257</v>
      </c>
      <c r="B10" t="s">
        <v>268</v>
      </c>
      <c r="C10" t="s">
        <v>272</v>
      </c>
      <c r="D10" t="s">
        <v>283</v>
      </c>
    </row>
    <row r="11" spans="1:4" x14ac:dyDescent="0.2">
      <c r="A11" t="s">
        <v>258</v>
      </c>
      <c r="B11" t="s">
        <v>269</v>
      </c>
      <c r="C11" t="s">
        <v>272</v>
      </c>
      <c r="D11" t="s">
        <v>284</v>
      </c>
    </row>
    <row r="12" spans="1:4" x14ac:dyDescent="0.2">
      <c r="A12" t="s">
        <v>259</v>
      </c>
      <c r="B12" t="s">
        <v>270</v>
      </c>
      <c r="C12" t="s">
        <v>272</v>
      </c>
      <c r="D12" t="s">
        <v>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247</v>
      </c>
      <c r="B1" s="1" t="s">
        <v>286</v>
      </c>
    </row>
    <row r="2" spans="1:2" x14ac:dyDescent="0.2">
      <c r="A2" t="s">
        <v>271</v>
      </c>
      <c r="B2" t="s">
        <v>289</v>
      </c>
    </row>
    <row r="3" spans="1:2" x14ac:dyDescent="0.2">
      <c r="A3" t="s">
        <v>273</v>
      </c>
      <c r="B3" t="s">
        <v>290</v>
      </c>
    </row>
    <row r="4" spans="1:2" x14ac:dyDescent="0.2">
      <c r="A4" t="s">
        <v>274</v>
      </c>
      <c r="B4" t="s">
        <v>291</v>
      </c>
    </row>
    <row r="5" spans="1:2" x14ac:dyDescent="0.2">
      <c r="A5" t="s">
        <v>272</v>
      </c>
      <c r="B5" t="s">
        <v>292</v>
      </c>
    </row>
    <row r="8" spans="1:2" x14ac:dyDescent="0.2">
      <c r="A8" t="s">
        <v>287</v>
      </c>
    </row>
    <row r="9" spans="1:2" x14ac:dyDescent="0.2">
      <c r="A9" t="s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selection sqref="A1:M1048576"/>
    </sheetView>
  </sheetViews>
  <sheetFormatPr baseColWidth="10" defaultColWidth="8.83203125" defaultRowHeight="15" x14ac:dyDescent="0.2"/>
  <cols>
    <col min="1" max="1" width="18.5" bestFit="1" customWidth="1"/>
    <col min="2" max="2" width="16.83203125" bestFit="1" customWidth="1"/>
    <col min="3" max="3" width="14.33203125" bestFit="1" customWidth="1"/>
    <col min="4" max="4" width="14" bestFit="1" customWidth="1"/>
    <col min="5" max="5" width="14.6640625" bestFit="1" customWidth="1"/>
    <col min="6" max="6" width="15.1640625" bestFit="1" customWidth="1"/>
    <col min="7" max="7" width="24.33203125" bestFit="1" customWidth="1"/>
    <col min="8" max="8" width="20.83203125" bestFit="1" customWidth="1"/>
    <col min="9" max="9" width="37.1640625" bestFit="1" customWidth="1"/>
  </cols>
  <sheetData>
    <row r="1" spans="1:9" x14ac:dyDescent="0.2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 spans="1:9" x14ac:dyDescent="0.2">
      <c r="A2" t="s">
        <v>302</v>
      </c>
      <c r="B2" t="s">
        <v>311</v>
      </c>
      <c r="C2" t="s">
        <v>320</v>
      </c>
      <c r="D2">
        <v>1</v>
      </c>
      <c r="E2">
        <v>10</v>
      </c>
      <c r="F2">
        <v>0</v>
      </c>
      <c r="G2" t="s">
        <v>329</v>
      </c>
      <c r="H2" t="s">
        <v>333</v>
      </c>
      <c r="I2" t="s">
        <v>341</v>
      </c>
    </row>
    <row r="3" spans="1:9" x14ac:dyDescent="0.2">
      <c r="A3" t="s">
        <v>303</v>
      </c>
      <c r="B3" t="s">
        <v>312</v>
      </c>
      <c r="C3" t="s">
        <v>321</v>
      </c>
      <c r="D3">
        <v>2</v>
      </c>
      <c r="E3">
        <v>12</v>
      </c>
      <c r="F3">
        <v>0</v>
      </c>
      <c r="G3" t="s">
        <v>329</v>
      </c>
      <c r="H3" t="s">
        <v>334</v>
      </c>
      <c r="I3" t="s">
        <v>342</v>
      </c>
    </row>
    <row r="4" spans="1:9" x14ac:dyDescent="0.2">
      <c r="A4" t="s">
        <v>304</v>
      </c>
      <c r="B4" t="s">
        <v>313</v>
      </c>
      <c r="C4" t="s">
        <v>322</v>
      </c>
      <c r="D4">
        <v>1</v>
      </c>
      <c r="E4">
        <v>8</v>
      </c>
      <c r="F4">
        <v>0</v>
      </c>
      <c r="G4" t="s">
        <v>329</v>
      </c>
      <c r="H4" t="s">
        <v>335</v>
      </c>
      <c r="I4" t="s">
        <v>343</v>
      </c>
    </row>
    <row r="5" spans="1:9" x14ac:dyDescent="0.2">
      <c r="A5" t="s">
        <v>305</v>
      </c>
      <c r="B5" t="s">
        <v>314</v>
      </c>
      <c r="C5" t="s">
        <v>323</v>
      </c>
      <c r="D5">
        <v>2</v>
      </c>
      <c r="E5">
        <v>15</v>
      </c>
      <c r="F5">
        <v>0</v>
      </c>
      <c r="G5" t="s">
        <v>330</v>
      </c>
      <c r="H5" t="s">
        <v>336</v>
      </c>
      <c r="I5" t="s">
        <v>344</v>
      </c>
    </row>
    <row r="6" spans="1:9" x14ac:dyDescent="0.2">
      <c r="A6" t="s">
        <v>306</v>
      </c>
      <c r="B6" t="s">
        <v>315</v>
      </c>
      <c r="C6" t="s">
        <v>324</v>
      </c>
      <c r="D6">
        <v>0</v>
      </c>
      <c r="E6">
        <v>0</v>
      </c>
      <c r="F6">
        <v>1</v>
      </c>
      <c r="G6" t="s">
        <v>330</v>
      </c>
      <c r="H6" t="s">
        <v>337</v>
      </c>
      <c r="I6" t="s">
        <v>345</v>
      </c>
    </row>
    <row r="7" spans="1:9" x14ac:dyDescent="0.2">
      <c r="A7" t="s">
        <v>307</v>
      </c>
      <c r="B7" t="s">
        <v>316</v>
      </c>
      <c r="C7" t="s">
        <v>325</v>
      </c>
      <c r="D7">
        <v>1</v>
      </c>
      <c r="E7">
        <v>10</v>
      </c>
      <c r="F7">
        <v>0</v>
      </c>
      <c r="G7" t="s">
        <v>330</v>
      </c>
      <c r="H7" t="s">
        <v>338</v>
      </c>
      <c r="I7" t="s">
        <v>346</v>
      </c>
    </row>
    <row r="8" spans="1:9" x14ac:dyDescent="0.2">
      <c r="A8" t="s">
        <v>308</v>
      </c>
      <c r="B8" t="s">
        <v>317</v>
      </c>
      <c r="C8" t="s">
        <v>326</v>
      </c>
      <c r="D8">
        <v>1</v>
      </c>
      <c r="E8">
        <v>10</v>
      </c>
      <c r="F8">
        <v>0</v>
      </c>
      <c r="G8" t="s">
        <v>330</v>
      </c>
      <c r="H8" t="s">
        <v>339</v>
      </c>
      <c r="I8" t="s">
        <v>347</v>
      </c>
    </row>
    <row r="9" spans="1:9" x14ac:dyDescent="0.2">
      <c r="A9" t="s">
        <v>309</v>
      </c>
      <c r="B9" t="s">
        <v>318</v>
      </c>
      <c r="C9" t="s">
        <v>327</v>
      </c>
      <c r="D9">
        <v>0</v>
      </c>
      <c r="E9">
        <v>0</v>
      </c>
      <c r="F9">
        <v>3</v>
      </c>
      <c r="G9" t="s">
        <v>331</v>
      </c>
      <c r="H9" t="s">
        <v>337</v>
      </c>
      <c r="I9" t="s">
        <v>348</v>
      </c>
    </row>
    <row r="10" spans="1:9" x14ac:dyDescent="0.2">
      <c r="A10" t="s">
        <v>310</v>
      </c>
      <c r="B10" t="s">
        <v>319</v>
      </c>
      <c r="C10" t="s">
        <v>328</v>
      </c>
      <c r="D10">
        <v>0</v>
      </c>
      <c r="E10">
        <v>0</v>
      </c>
      <c r="F10">
        <v>0</v>
      </c>
      <c r="G10" t="s">
        <v>332</v>
      </c>
      <c r="H10" t="s">
        <v>340</v>
      </c>
      <c r="I10" t="s">
        <v>349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25.33203125" bestFit="1" customWidth="1"/>
    <col min="2" max="2" width="13.83203125" bestFit="1" customWidth="1"/>
    <col min="3" max="3" width="18.1640625" bestFit="1" customWidth="1"/>
    <col min="4" max="4" width="8" bestFit="1" customWidth="1"/>
    <col min="5" max="5" width="10.5" bestFit="1" customWidth="1"/>
    <col min="6" max="6" width="27.33203125" bestFit="1" customWidth="1"/>
    <col min="7" max="7" width="13.33203125" bestFit="1" customWidth="1"/>
    <col min="8" max="8" width="16.33203125" bestFit="1" customWidth="1"/>
    <col min="9" max="9" width="24.1640625" bestFit="1" customWidth="1"/>
    <col min="10" max="10" width="39.6640625" bestFit="1" customWidth="1"/>
  </cols>
  <sheetData>
    <row r="1" spans="1:10" x14ac:dyDescent="0.2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301</v>
      </c>
    </row>
    <row r="2" spans="1:10" x14ac:dyDescent="0.2">
      <c r="A2" t="s">
        <v>359</v>
      </c>
      <c r="B2" t="s">
        <v>320</v>
      </c>
      <c r="C2" t="s">
        <v>372</v>
      </c>
      <c r="D2">
        <v>2</v>
      </c>
      <c r="E2" t="s">
        <v>384</v>
      </c>
      <c r="F2" t="s">
        <v>389</v>
      </c>
      <c r="G2" t="s">
        <v>401</v>
      </c>
      <c r="H2">
        <v>2</v>
      </c>
      <c r="I2" t="s">
        <v>405</v>
      </c>
      <c r="J2" t="s">
        <v>417</v>
      </c>
    </row>
    <row r="3" spans="1:10" x14ac:dyDescent="0.2">
      <c r="A3" t="s">
        <v>360</v>
      </c>
      <c r="B3" t="s">
        <v>321</v>
      </c>
      <c r="C3" t="s">
        <v>373</v>
      </c>
      <c r="D3">
        <v>1</v>
      </c>
      <c r="E3" t="s">
        <v>385</v>
      </c>
      <c r="F3" t="s">
        <v>390</v>
      </c>
      <c r="G3" t="s">
        <v>402</v>
      </c>
      <c r="H3">
        <v>4</v>
      </c>
      <c r="I3" t="s">
        <v>406</v>
      </c>
      <c r="J3" t="s">
        <v>418</v>
      </c>
    </row>
    <row r="4" spans="1:10" x14ac:dyDescent="0.2">
      <c r="A4" t="s">
        <v>361</v>
      </c>
      <c r="B4" t="s">
        <v>321</v>
      </c>
      <c r="C4" t="s">
        <v>374</v>
      </c>
      <c r="D4">
        <v>1</v>
      </c>
      <c r="E4" t="s">
        <v>384</v>
      </c>
      <c r="F4" t="s">
        <v>391</v>
      </c>
      <c r="G4" t="s">
        <v>28</v>
      </c>
      <c r="H4">
        <v>5</v>
      </c>
      <c r="I4" t="s">
        <v>407</v>
      </c>
      <c r="J4" t="s">
        <v>419</v>
      </c>
    </row>
    <row r="5" spans="1:10" x14ac:dyDescent="0.2">
      <c r="A5" t="s">
        <v>362</v>
      </c>
      <c r="B5" t="s">
        <v>322</v>
      </c>
      <c r="C5" t="s">
        <v>375</v>
      </c>
      <c r="D5">
        <v>2</v>
      </c>
      <c r="E5" t="s">
        <v>385</v>
      </c>
      <c r="F5" t="s">
        <v>392</v>
      </c>
      <c r="G5" t="s">
        <v>28</v>
      </c>
      <c r="H5">
        <v>3</v>
      </c>
      <c r="I5" t="s">
        <v>408</v>
      </c>
      <c r="J5" t="s">
        <v>420</v>
      </c>
    </row>
    <row r="6" spans="1:10" x14ac:dyDescent="0.2">
      <c r="A6" t="s">
        <v>363</v>
      </c>
      <c r="B6" t="s">
        <v>323</v>
      </c>
      <c r="C6" t="s">
        <v>376</v>
      </c>
      <c r="D6">
        <v>1</v>
      </c>
      <c r="E6" t="s">
        <v>384</v>
      </c>
      <c r="F6" t="s">
        <v>393</v>
      </c>
      <c r="G6" t="s">
        <v>403</v>
      </c>
      <c r="H6">
        <v>4</v>
      </c>
      <c r="I6" t="s">
        <v>409</v>
      </c>
      <c r="J6" t="s">
        <v>421</v>
      </c>
    </row>
    <row r="7" spans="1:10" x14ac:dyDescent="0.2">
      <c r="A7" t="s">
        <v>364</v>
      </c>
      <c r="B7" t="s">
        <v>324</v>
      </c>
      <c r="C7" t="s">
        <v>377</v>
      </c>
      <c r="D7">
        <v>1</v>
      </c>
      <c r="E7" t="s">
        <v>384</v>
      </c>
      <c r="F7" t="s">
        <v>394</v>
      </c>
      <c r="G7" t="s">
        <v>402</v>
      </c>
      <c r="H7">
        <v>3</v>
      </c>
      <c r="I7" t="s">
        <v>410</v>
      </c>
      <c r="J7" t="s">
        <v>422</v>
      </c>
    </row>
    <row r="8" spans="1:10" x14ac:dyDescent="0.2">
      <c r="A8" t="s">
        <v>365</v>
      </c>
      <c r="B8" t="s">
        <v>324</v>
      </c>
      <c r="C8" t="s">
        <v>378</v>
      </c>
      <c r="D8">
        <v>1</v>
      </c>
      <c r="E8" t="s">
        <v>384</v>
      </c>
      <c r="F8" t="s">
        <v>395</v>
      </c>
      <c r="G8" t="s">
        <v>28</v>
      </c>
      <c r="H8">
        <v>8</v>
      </c>
      <c r="I8" t="s">
        <v>411</v>
      </c>
      <c r="J8" t="s">
        <v>423</v>
      </c>
    </row>
    <row r="9" spans="1:10" x14ac:dyDescent="0.2">
      <c r="A9" t="s">
        <v>366</v>
      </c>
      <c r="B9" t="s">
        <v>371</v>
      </c>
      <c r="C9" t="s">
        <v>379</v>
      </c>
      <c r="D9">
        <v>1</v>
      </c>
      <c r="E9" t="s">
        <v>386</v>
      </c>
      <c r="F9" t="s">
        <v>396</v>
      </c>
      <c r="G9" t="s">
        <v>401</v>
      </c>
      <c r="H9">
        <v>6</v>
      </c>
      <c r="I9" t="s">
        <v>412</v>
      </c>
      <c r="J9" t="s">
        <v>424</v>
      </c>
    </row>
    <row r="10" spans="1:10" x14ac:dyDescent="0.2">
      <c r="A10" t="s">
        <v>367</v>
      </c>
      <c r="B10" t="s">
        <v>325</v>
      </c>
      <c r="C10" t="s">
        <v>380</v>
      </c>
      <c r="D10">
        <v>2</v>
      </c>
      <c r="E10" t="s">
        <v>384</v>
      </c>
      <c r="F10" t="s">
        <v>397</v>
      </c>
      <c r="G10" t="s">
        <v>403</v>
      </c>
      <c r="H10">
        <v>3</v>
      </c>
      <c r="I10" t="s">
        <v>413</v>
      </c>
      <c r="J10" t="s">
        <v>425</v>
      </c>
    </row>
    <row r="11" spans="1:10" x14ac:dyDescent="0.2">
      <c r="A11" t="s">
        <v>368</v>
      </c>
      <c r="B11" t="s">
        <v>326</v>
      </c>
      <c r="C11" t="s">
        <v>381</v>
      </c>
      <c r="D11">
        <v>1</v>
      </c>
      <c r="E11" t="s">
        <v>387</v>
      </c>
      <c r="F11" t="s">
        <v>398</v>
      </c>
      <c r="G11" t="s">
        <v>402</v>
      </c>
      <c r="H11">
        <v>4</v>
      </c>
      <c r="I11" t="s">
        <v>414</v>
      </c>
      <c r="J11" t="s">
        <v>426</v>
      </c>
    </row>
    <row r="12" spans="1:10" x14ac:dyDescent="0.2">
      <c r="A12" t="s">
        <v>369</v>
      </c>
      <c r="B12" t="s">
        <v>327</v>
      </c>
      <c r="C12" t="s">
        <v>382</v>
      </c>
      <c r="D12">
        <v>1</v>
      </c>
      <c r="E12" t="s">
        <v>384</v>
      </c>
      <c r="F12" t="s">
        <v>399</v>
      </c>
      <c r="G12" t="s">
        <v>402</v>
      </c>
      <c r="H12">
        <v>10</v>
      </c>
      <c r="I12" t="s">
        <v>415</v>
      </c>
      <c r="J12" t="s">
        <v>427</v>
      </c>
    </row>
    <row r="13" spans="1:10" x14ac:dyDescent="0.2">
      <c r="A13" t="s">
        <v>370</v>
      </c>
      <c r="B13" t="s">
        <v>328</v>
      </c>
      <c r="C13" t="s">
        <v>383</v>
      </c>
      <c r="D13">
        <v>1</v>
      </c>
      <c r="E13" t="s">
        <v>388</v>
      </c>
      <c r="F13" t="s">
        <v>400</v>
      </c>
      <c r="G13" t="s">
        <v>404</v>
      </c>
      <c r="H13">
        <v>0</v>
      </c>
      <c r="I13" t="s">
        <v>416</v>
      </c>
      <c r="J13" t="s">
        <v>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2" width="30.6640625" customWidth="1"/>
    <col min="3" max="3" width="34" bestFit="1" customWidth="1"/>
  </cols>
  <sheetData>
    <row r="1" spans="1:3" x14ac:dyDescent="0.2">
      <c r="A1" s="2" t="s">
        <v>429</v>
      </c>
      <c r="B1" s="2" t="s">
        <v>430</v>
      </c>
      <c r="C1" s="2" t="s">
        <v>301</v>
      </c>
    </row>
    <row r="2" spans="1:3" x14ac:dyDescent="0.2">
      <c r="A2" t="s">
        <v>431</v>
      </c>
      <c r="B2">
        <v>10</v>
      </c>
      <c r="C2" t="s">
        <v>440</v>
      </c>
    </row>
    <row r="3" spans="1:3" x14ac:dyDescent="0.2">
      <c r="A3" t="s">
        <v>432</v>
      </c>
      <c r="B3">
        <v>12</v>
      </c>
      <c r="C3" t="s">
        <v>441</v>
      </c>
    </row>
    <row r="4" spans="1:3" x14ac:dyDescent="0.2">
      <c r="A4" t="s">
        <v>433</v>
      </c>
      <c r="B4">
        <v>0.03</v>
      </c>
      <c r="C4" t="s">
        <v>442</v>
      </c>
    </row>
    <row r="5" spans="1:3" x14ac:dyDescent="0.2">
      <c r="A5" t="s">
        <v>434</v>
      </c>
      <c r="B5">
        <v>0.02</v>
      </c>
      <c r="C5" t="s">
        <v>443</v>
      </c>
    </row>
    <row r="6" spans="1:3" x14ac:dyDescent="0.2">
      <c r="A6" t="s">
        <v>435</v>
      </c>
      <c r="B6">
        <v>3</v>
      </c>
      <c r="C6" t="s">
        <v>444</v>
      </c>
    </row>
    <row r="7" spans="1:3" x14ac:dyDescent="0.2">
      <c r="A7" t="s">
        <v>436</v>
      </c>
      <c r="B7">
        <v>1</v>
      </c>
      <c r="C7" t="s">
        <v>445</v>
      </c>
    </row>
    <row r="8" spans="1:3" x14ac:dyDescent="0.2">
      <c r="A8" t="s">
        <v>437</v>
      </c>
      <c r="B8">
        <v>1</v>
      </c>
      <c r="C8" t="s">
        <v>446</v>
      </c>
    </row>
    <row r="9" spans="1:3" x14ac:dyDescent="0.2">
      <c r="A9" t="s">
        <v>438</v>
      </c>
      <c r="B9">
        <v>0.5</v>
      </c>
      <c r="C9" t="s">
        <v>447</v>
      </c>
    </row>
    <row r="10" spans="1:3" x14ac:dyDescent="0.2">
      <c r="A10" t="s">
        <v>439</v>
      </c>
      <c r="B10">
        <v>3</v>
      </c>
      <c r="C10" t="s">
        <v>448</v>
      </c>
    </row>
    <row r="11" spans="1:3" x14ac:dyDescent="0.2">
      <c r="A11" t="s">
        <v>478</v>
      </c>
      <c r="B11">
        <v>0.25</v>
      </c>
      <c r="C11" t="s">
        <v>479</v>
      </c>
    </row>
    <row r="12" spans="1:3" x14ac:dyDescent="0.2">
      <c r="A12" t="s">
        <v>480</v>
      </c>
      <c r="B12">
        <v>0.35</v>
      </c>
      <c r="C12" t="s">
        <v>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7"/>
  <sheetViews>
    <sheetView workbookViewId="0">
      <pane ySplit="1" topLeftCell="A2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34.6640625" customWidth="1"/>
    <col min="2" max="2" width="44.6640625" customWidth="1"/>
    <col min="3" max="3" width="24.6640625" customWidth="1"/>
  </cols>
  <sheetData>
    <row r="1" spans="1:11" ht="19" x14ac:dyDescent="0.25">
      <c r="A1" s="3" t="s">
        <v>477</v>
      </c>
      <c r="B1" s="2" t="s">
        <v>449</v>
      </c>
      <c r="C1" s="2" t="s">
        <v>430</v>
      </c>
    </row>
    <row r="2" spans="1:11" x14ac:dyDescent="0.2">
      <c r="A2" t="s">
        <v>450</v>
      </c>
      <c r="B2">
        <f>(3600/Globals!B2)*Globals!B3</f>
        <v>4320</v>
      </c>
    </row>
    <row r="3" spans="1:11" x14ac:dyDescent="0.2">
      <c r="A3" t="s">
        <v>451</v>
      </c>
      <c r="B3">
        <f>IF(Globals!B7=0,0,MIN(1,Globals!B3 + Globals!B4*Globals!B5))</f>
        <v>1</v>
      </c>
    </row>
    <row r="4" spans="1:11" x14ac:dyDescent="0.2">
      <c r="A4" t="s">
        <v>452</v>
      </c>
      <c r="B4">
        <f>Globals!B6*(3600/Globals!B2*Globals!B3)*IF(Globals!B7=0,0,MIN(1,Globals!B3 + Globals!B4*Globals!B5))</f>
        <v>12960</v>
      </c>
    </row>
    <row r="7" spans="1:11" x14ac:dyDescent="0.2">
      <c r="A7" s="2" t="s">
        <v>453</v>
      </c>
      <c r="B7" s="2" t="s">
        <v>454</v>
      </c>
      <c r="C7" s="2" t="s">
        <v>455</v>
      </c>
      <c r="D7" s="2" t="s">
        <v>456</v>
      </c>
      <c r="E7" s="2" t="s">
        <v>457</v>
      </c>
      <c r="F7" s="2" t="s">
        <v>458</v>
      </c>
      <c r="G7" s="2" t="s">
        <v>459</v>
      </c>
      <c r="H7" s="2" t="s">
        <v>460</v>
      </c>
      <c r="I7" s="2" t="s">
        <v>461</v>
      </c>
      <c r="J7" s="2" t="s">
        <v>462</v>
      </c>
      <c r="K7" s="2" t="s">
        <v>301</v>
      </c>
    </row>
    <row r="8" spans="1:11" x14ac:dyDescent="0.2">
      <c r="A8" t="s">
        <v>320</v>
      </c>
      <c r="B8">
        <v>0.05</v>
      </c>
      <c r="C8">
        <v>0.03</v>
      </c>
      <c r="D8">
        <v>3</v>
      </c>
      <c r="E8">
        <v>1</v>
      </c>
      <c r="F8">
        <f>Globals!B2</f>
        <v>10</v>
      </c>
      <c r="G8">
        <f>Globals!B3</f>
        <v>12</v>
      </c>
      <c r="H8">
        <f>(3600/Globals!B2)*Globals!B3</f>
        <v>4320</v>
      </c>
      <c r="I8">
        <f>IF(E3=0,0,MIN(1,B3 + C3*D3))</f>
        <v>0</v>
      </c>
      <c r="J8">
        <f>H3*I3*Globals!B6</f>
        <v>0</v>
      </c>
      <c r="K8" t="s">
        <v>463</v>
      </c>
    </row>
    <row r="9" spans="1:11" x14ac:dyDescent="0.2">
      <c r="A9" t="s">
        <v>321</v>
      </c>
      <c r="B9">
        <v>0.03</v>
      </c>
      <c r="C9">
        <v>0.02</v>
      </c>
      <c r="D9">
        <v>3</v>
      </c>
      <c r="E9">
        <v>1</v>
      </c>
      <c r="F9">
        <f>Globals!B2</f>
        <v>10</v>
      </c>
      <c r="G9">
        <f>Globals!B3</f>
        <v>12</v>
      </c>
      <c r="H9">
        <f>(3600/Globals!B2)*Globals!B3</f>
        <v>4320</v>
      </c>
      <c r="I9">
        <f>IF(E4=0,0,MIN(1,B4 + C4*D4))</f>
        <v>0</v>
      </c>
      <c r="J9">
        <f>H4*I4*Globals!B6</f>
        <v>0</v>
      </c>
      <c r="K9" t="s">
        <v>464</v>
      </c>
    </row>
    <row r="10" spans="1:11" x14ac:dyDescent="0.2">
      <c r="A10" t="s">
        <v>322</v>
      </c>
      <c r="B10">
        <v>0.04</v>
      </c>
      <c r="C10">
        <v>0.02</v>
      </c>
      <c r="D10">
        <v>3</v>
      </c>
      <c r="E10">
        <v>1</v>
      </c>
      <c r="F10">
        <f>Globals!B2</f>
        <v>10</v>
      </c>
      <c r="G10">
        <f>Globals!B3</f>
        <v>12</v>
      </c>
      <c r="H10">
        <f>(3600/Globals!B2)*Globals!B3</f>
        <v>4320</v>
      </c>
      <c r="I10">
        <f>IF(E5=0,0,MIN(1,B5 + C5*D5))</f>
        <v>0</v>
      </c>
      <c r="J10">
        <f>H5*I5*Globals!B6</f>
        <v>0</v>
      </c>
      <c r="K10" t="s">
        <v>465</v>
      </c>
    </row>
    <row r="11" spans="1:11" x14ac:dyDescent="0.2">
      <c r="A11" t="s">
        <v>323</v>
      </c>
      <c r="B11">
        <v>0.02</v>
      </c>
      <c r="C11">
        <v>0.01</v>
      </c>
      <c r="D11">
        <v>2</v>
      </c>
      <c r="E11">
        <v>1</v>
      </c>
      <c r="F11">
        <f>Globals!B2</f>
        <v>10</v>
      </c>
      <c r="G11">
        <f>Globals!B3</f>
        <v>12</v>
      </c>
      <c r="H11">
        <f>(3600/Globals!B2)*Globals!B3</f>
        <v>4320</v>
      </c>
      <c r="I11">
        <f>IF(E6=0,0,MIN(1,B6 + C6*D6))</f>
        <v>0</v>
      </c>
      <c r="J11">
        <f>H6*I6*Globals!B6</f>
        <v>0</v>
      </c>
      <c r="K11" t="s">
        <v>466</v>
      </c>
    </row>
    <row r="12" spans="1:11" x14ac:dyDescent="0.2">
      <c r="A12" t="s">
        <v>324</v>
      </c>
      <c r="B12">
        <v>0</v>
      </c>
      <c r="C12">
        <v>0</v>
      </c>
      <c r="D12">
        <v>0</v>
      </c>
      <c r="E12">
        <v>1</v>
      </c>
      <c r="F12">
        <f>Globals!B2</f>
        <v>10</v>
      </c>
      <c r="G12">
        <f>Globals!B3</f>
        <v>12</v>
      </c>
      <c r="H12">
        <f>(3600/Globals!B2)*Globals!B3</f>
        <v>4320</v>
      </c>
      <c r="I12">
        <f>0</f>
        <v>0</v>
      </c>
      <c r="J12">
        <f>0</f>
        <v>0</v>
      </c>
      <c r="K12" t="s">
        <v>467</v>
      </c>
    </row>
    <row r="13" spans="1:11" x14ac:dyDescent="0.2">
      <c r="A13" t="s">
        <v>325</v>
      </c>
      <c r="B13">
        <v>0.03</v>
      </c>
      <c r="C13">
        <v>0.02</v>
      </c>
      <c r="D13">
        <v>3</v>
      </c>
      <c r="E13">
        <v>1</v>
      </c>
      <c r="F13">
        <f>Globals!B2</f>
        <v>10</v>
      </c>
      <c r="G13">
        <f>Globals!B3</f>
        <v>12</v>
      </c>
      <c r="H13">
        <f>(3600/Globals!B2)*Globals!B3</f>
        <v>4320</v>
      </c>
      <c r="I13">
        <f>IF(E8=0,0,MIN(1,B8 + C8*D8))</f>
        <v>0.14000000000000001</v>
      </c>
      <c r="J13">
        <f>H8*I8*Globals!B6</f>
        <v>0</v>
      </c>
      <c r="K13" t="s">
        <v>468</v>
      </c>
    </row>
    <row r="14" spans="1:11" x14ac:dyDescent="0.2">
      <c r="A14" t="s">
        <v>326</v>
      </c>
      <c r="B14">
        <v>0.02</v>
      </c>
      <c r="C14">
        <v>0.01</v>
      </c>
      <c r="D14">
        <v>2</v>
      </c>
      <c r="E14">
        <v>1</v>
      </c>
      <c r="F14">
        <f>Globals!B2</f>
        <v>10</v>
      </c>
      <c r="G14">
        <f>Globals!B3</f>
        <v>12</v>
      </c>
      <c r="H14">
        <f>(3600/Globals!B2)*Globals!B3</f>
        <v>4320</v>
      </c>
      <c r="I14">
        <f>IF(E9=0,0,MIN(1,B9 + C9*D9))</f>
        <v>0.09</v>
      </c>
      <c r="J14">
        <f>H9*I9*Globals!B6</f>
        <v>0</v>
      </c>
      <c r="K14" t="s">
        <v>469</v>
      </c>
    </row>
    <row r="18" spans="1:9" x14ac:dyDescent="0.2">
      <c r="A18" s="2" t="s">
        <v>293</v>
      </c>
      <c r="B18" s="2" t="s">
        <v>295</v>
      </c>
      <c r="C18" s="2" t="s">
        <v>470</v>
      </c>
      <c r="D18" s="2" t="s">
        <v>471</v>
      </c>
      <c r="E18" s="2" t="s">
        <v>472</v>
      </c>
      <c r="F18" s="2" t="s">
        <v>473</v>
      </c>
      <c r="G18" s="2" t="s">
        <v>474</v>
      </c>
      <c r="H18" s="2" t="s">
        <v>475</v>
      </c>
      <c r="I18" s="2" t="s">
        <v>301</v>
      </c>
    </row>
    <row r="19" spans="1:9" x14ac:dyDescent="0.2">
      <c r="A19" t="s">
        <v>302</v>
      </c>
      <c r="B19" t="s">
        <v>320</v>
      </c>
      <c r="C19">
        <v>1</v>
      </c>
      <c r="D19">
        <v>10</v>
      </c>
      <c r="E19">
        <v>0</v>
      </c>
      <c r="F19">
        <f>SUMPRODUCT((Garden_Outputs!$B$2:$B$13="WHISPERBLOOM")*(Garden_Outputs!$D$2:$D$13)*(Garden_Outputs!$H$2:$H$13))</f>
        <v>4</v>
      </c>
      <c r="G19">
        <v>1</v>
      </c>
      <c r="H19">
        <f>F3*G3 - (C3 + D3*Globals!B8 + E3*Globals!B9)</f>
        <v>0</v>
      </c>
      <c r="I19" t="s">
        <v>476</v>
      </c>
    </row>
    <row r="20" spans="1:9" x14ac:dyDescent="0.2">
      <c r="A20" t="s">
        <v>303</v>
      </c>
      <c r="B20" t="s">
        <v>321</v>
      </c>
      <c r="C20">
        <v>2</v>
      </c>
      <c r="D20">
        <v>12</v>
      </c>
      <c r="E20">
        <v>0</v>
      </c>
      <c r="F20">
        <f>SUMPRODUCT((Garden_Outputs!$B$2:$B$13="GRIEFROOT")*(Garden_Outputs!$D$2:$D$13)*(Garden_Outputs!$H$2:$H$13))</f>
        <v>9</v>
      </c>
      <c r="G20">
        <v>1</v>
      </c>
      <c r="H20">
        <f>F4*G4 - (C4 + D4*Globals!B8 + E4*Globals!B9)</f>
        <v>0</v>
      </c>
      <c r="I20" t="s">
        <v>476</v>
      </c>
    </row>
    <row r="21" spans="1:9" x14ac:dyDescent="0.2">
      <c r="A21" t="s">
        <v>304</v>
      </c>
      <c r="B21" t="s">
        <v>322</v>
      </c>
      <c r="C21">
        <v>1</v>
      </c>
      <c r="D21">
        <v>8</v>
      </c>
      <c r="E21">
        <v>0</v>
      </c>
      <c r="F21">
        <f>SUMPRODUCT((Garden_Outputs!$B$2:$B$13="MIRTHPETAL")*(Garden_Outputs!$D$2:$D$13)*(Garden_Outputs!$H$2:$H$13))</f>
        <v>6</v>
      </c>
      <c r="G21">
        <v>1</v>
      </c>
      <c r="H21">
        <f>F5*G5 - (C5 + D5*Globals!B8 + E5*Globals!B9)</f>
        <v>0</v>
      </c>
      <c r="I21" t="s">
        <v>476</v>
      </c>
    </row>
    <row r="22" spans="1:9" x14ac:dyDescent="0.2">
      <c r="A22" t="s">
        <v>305</v>
      </c>
      <c r="B22" t="s">
        <v>323</v>
      </c>
      <c r="C22">
        <v>2</v>
      </c>
      <c r="D22">
        <v>15</v>
      </c>
      <c r="E22">
        <v>0</v>
      </c>
      <c r="F22">
        <f>SUMPRODUCT((Garden_Outputs!$B$2:$B$13="FORGETMEBUD")*(Garden_Outputs!$D$2:$D$13)*(Garden_Outputs!$H$2:$H$13))</f>
        <v>4</v>
      </c>
      <c r="G22">
        <v>1</v>
      </c>
      <c r="H22">
        <f>F6*G6 - (C6 + D6*Globals!B8 + E6*Globals!B9)</f>
        <v>0</v>
      </c>
      <c r="I22" t="s">
        <v>476</v>
      </c>
    </row>
    <row r="23" spans="1:9" x14ac:dyDescent="0.2">
      <c r="A23" t="s">
        <v>306</v>
      </c>
      <c r="B23" t="s">
        <v>324</v>
      </c>
      <c r="C23">
        <v>0</v>
      </c>
      <c r="D23">
        <v>0</v>
      </c>
      <c r="E23">
        <v>1</v>
      </c>
      <c r="F23">
        <f>SUMPRODUCT((Garden_Outputs!$B$2:$B$13="ASHBLOSSOM")*(Garden_Outputs!$D$2:$D$13)*(Garden_Outputs!$H$2:$H$13))</f>
        <v>11</v>
      </c>
      <c r="G23">
        <v>1</v>
      </c>
      <c r="H23" t="e">
        <f>F7*G7 - (C7 + D7*Globals!B8 + E7*Globals!B9)</f>
        <v>#VALUE!</v>
      </c>
      <c r="I23" t="s">
        <v>476</v>
      </c>
    </row>
    <row r="24" spans="1:9" x14ac:dyDescent="0.2">
      <c r="A24" t="s">
        <v>307</v>
      </c>
      <c r="B24" t="s">
        <v>325</v>
      </c>
      <c r="C24">
        <v>1</v>
      </c>
      <c r="D24">
        <v>10</v>
      </c>
      <c r="E24">
        <v>0</v>
      </c>
      <c r="F24">
        <f>SUMPRODUCT((Garden_Outputs!$B$2:$B$13="KINDLEFERN")*(Garden_Outputs!$D$2:$D$13)*(Garden_Outputs!$H$2:$H$13))</f>
        <v>6</v>
      </c>
      <c r="G24">
        <v>1</v>
      </c>
      <c r="H24">
        <f>F8*G8 - (C8 + D8*Globals!B8 + E8*Globals!B9)</f>
        <v>116.47</v>
      </c>
      <c r="I24" t="s">
        <v>476</v>
      </c>
    </row>
    <row r="25" spans="1:9" x14ac:dyDescent="0.2">
      <c r="A25" t="s">
        <v>308</v>
      </c>
      <c r="B25" t="s">
        <v>326</v>
      </c>
      <c r="C25">
        <v>1</v>
      </c>
      <c r="D25">
        <v>10</v>
      </c>
      <c r="E25">
        <v>0</v>
      </c>
      <c r="F25">
        <f>SUMPRODUCT((Garden_Outputs!$B$2:$B$13="LAMENT_LILY")*(Garden_Outputs!$D$2:$D$13)*(Garden_Outputs!$H$2:$H$13))</f>
        <v>4</v>
      </c>
      <c r="G25">
        <v>1</v>
      </c>
      <c r="H25">
        <f>F9*G9 - (C9 + D9*Globals!B8 + E9*Globals!B9)</f>
        <v>116.48</v>
      </c>
      <c r="I25" t="s">
        <v>476</v>
      </c>
    </row>
    <row r="26" spans="1:9" x14ac:dyDescent="0.2">
      <c r="A26" t="s">
        <v>309</v>
      </c>
      <c r="B26" t="s">
        <v>327</v>
      </c>
      <c r="C26">
        <v>0</v>
      </c>
      <c r="D26">
        <v>0</v>
      </c>
      <c r="E26">
        <v>3</v>
      </c>
      <c r="F26">
        <f>SUMPRODUCT((Garden_Outputs!$B$2:$B$13="WRAITHVINE")*(Garden_Outputs!$D$2:$D$13)*(Garden_Outputs!$H$2:$H$13))</f>
        <v>10</v>
      </c>
      <c r="G26">
        <v>1</v>
      </c>
      <c r="H26">
        <f>F10*G10 - (C10 + D10*Globals!B8 + E10*Globals!B9)</f>
        <v>116.48</v>
      </c>
      <c r="I26" t="s">
        <v>476</v>
      </c>
    </row>
    <row r="27" spans="1:9" x14ac:dyDescent="0.2">
      <c r="A27" t="s">
        <v>310</v>
      </c>
      <c r="B27" t="s">
        <v>328</v>
      </c>
      <c r="C27">
        <v>0</v>
      </c>
      <c r="D27">
        <v>0</v>
      </c>
      <c r="E27">
        <v>0</v>
      </c>
      <c r="F27">
        <f>SUMPRODUCT((Garden_Outputs!$B$2:$B$13="PEACEBUD")*(Garden_Outputs!$D$2:$D$13)*(Garden_Outputs!$H$2:$H$13))</f>
        <v>0</v>
      </c>
      <c r="G27">
        <v>1</v>
      </c>
      <c r="H27">
        <f>F11*G11 - (C11 + D11*Globals!B8 + E11*Globals!B9)</f>
        <v>117.49</v>
      </c>
      <c r="I27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Resources</vt:lpstr>
      <vt:lpstr>Buildings</vt:lpstr>
      <vt:lpstr>Emotional_Systems</vt:lpstr>
      <vt:lpstr>Crafting_Chains</vt:lpstr>
      <vt:lpstr>Economy_Flowchart</vt:lpstr>
      <vt:lpstr>Legend</vt:lpstr>
      <vt:lpstr>Seeds</vt:lpstr>
      <vt:lpstr>Garden_Outputs</vt:lpstr>
      <vt:lpstr>Globals</vt:lpstr>
      <vt:lpstr>Computed_Metrics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2025-10-31T20:38:36Z</dcterms:created>
  <dcterms:modified xsi:type="dcterms:W3CDTF">2025-11-01T02:27:00Z</dcterms:modified>
</cp:coreProperties>
</file>