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s" sheetId="1" r:id="rId1"/>
    <sheet name="Category_Weights" sheetId="2" r:id="rId2"/>
    <sheet name="Temperament_Tuning" sheetId="3" r:id="rId3"/>
    <sheet name="NetDay" sheetId="4" r:id="rId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<sst xmlns="http://schemas.openxmlformats.org/spreadsheetml/2006/main" count="129" uniqueCount="89">
  <si>
    <t>Key</t>
  </si>
  <si>
    <t>Value</t>
  </si>
  <si>
    <t>Notes</t>
  </si>
  <si>
    <t>HarmonyTier</t>
  </si>
  <si>
    <t>Calm</t>
  </si>
  <si>
    <t>Steady</t>
  </si>
  <si>
    <t>Wobbly</t>
  </si>
  <si>
    <t>Frayed</t>
  </si>
  <si>
    <t>Pick tier in Net sheet (data validation points here)</t>
  </si>
  <si>
    <t>Top-tier day; large positive multiplier</t>
  </si>
  <si>
    <t>Solid day; modest positive multiplier</t>
  </si>
  <si>
    <t>Shaky day; tiny positive multiplier</t>
  </si>
  <si>
    <t>Bad day; negatives bite more</t>
  </si>
  <si>
    <t>Category</t>
  </si>
  <si>
    <t>Weight</t>
  </si>
  <si>
    <t>Care</t>
  </si>
  <si>
    <t>Social</t>
  </si>
  <si>
    <t>Work</t>
  </si>
  <si>
    <t>Requests</t>
  </si>
  <si>
    <t>Ritual</t>
  </si>
  <si>
    <t>Environment</t>
  </si>
  <si>
    <t>Harmony</t>
  </si>
  <si>
    <t>Dungeon</t>
  </si>
  <si>
    <t>Humor</t>
  </si>
  <si>
    <t>Neglect</t>
  </si>
  <si>
    <t>World</t>
  </si>
  <si>
    <t>Conflict</t>
  </si>
  <si>
    <t>Feeding/Offerings etc.</t>
  </si>
  <si>
    <t>Campfire, hugs, gifts</t>
  </si>
  <si>
    <t>Cleanup/build/throughput</t>
  </si>
  <si>
    <t>Personal favors/mini-quests</t>
  </si>
  <si>
    <t>Altar ceremonies</t>
  </si>
  <si>
    <t>Decor, lighting, beds</t>
  </si>
  <si>
    <t>Daily tier bonuses</t>
  </si>
  <si>
    <t>Runs, rescues, bosses</t>
  </si>
  <si>
    <t>Silly/cozy antics</t>
  </si>
  <si>
    <t>Hunger, no lanterns</t>
  </si>
  <si>
    <t>Rot/decay, surges</t>
  </si>
  <si>
    <t>Fights, harsh choices</t>
  </si>
  <si>
    <t>Type</t>
  </si>
  <si>
    <t>Name</t>
  </si>
  <si>
    <t>PositiveMultiplier</t>
  </si>
  <si>
    <t>NegativeMultiplier</t>
  </si>
  <si>
    <t>Temperament</t>
  </si>
  <si>
    <t>Bright</t>
  </si>
  <si>
    <t>Mournful</t>
  </si>
  <si>
    <t>Trickster</t>
  </si>
  <si>
    <t>Spiteful</t>
  </si>
  <si>
    <t>Cold</t>
  </si>
  <si>
    <t>Gloomy</t>
  </si>
  <si>
    <t>Lonely</t>
  </si>
  <si>
    <t>Anxious</t>
  </si>
  <si>
    <t>Stoic</t>
  </si>
  <si>
    <t>Beaming chaos; spreads cheer</t>
  </si>
  <si>
    <t>Grief-tender; flowers/Release hit harder</t>
  </si>
  <si>
    <t>± variance narratively; fun chaos</t>
  </si>
  <si>
    <t>Respects competence, hates fluff</t>
  </si>
  <si>
    <t>Lantern discipline fan</t>
  </si>
  <si>
    <t>Cleanup soothes; feast meh</t>
  </si>
  <si>
    <t>Needs company/light</t>
  </si>
  <si>
    <t>Checklist calm; idle panic</t>
  </si>
  <si>
    <t>Steady output; hates pranks</t>
  </si>
  <si>
    <t>Event</t>
  </si>
  <si>
    <t>BaseChange</t>
  </si>
  <si>
    <t>Count</t>
  </si>
  <si>
    <t>CategoryWeight</t>
  </si>
  <si>
    <t>HarmonyMult</t>
  </si>
  <si>
    <t>AdjustedDelta</t>
  </si>
  <si>
    <t>Feed Offering</t>
  </si>
  <si>
    <t>Ectofruit (full)</t>
  </si>
  <si>
    <t>Cleanup Streak</t>
  </si>
  <si>
    <t>Ignored Request</t>
  </si>
  <si>
    <t>Feast of Remembrance</t>
  </si>
  <si>
    <t>No Lantern Coverage (night)</t>
  </si>
  <si>
    <t>Storytime</t>
  </si>
  <si>
    <t>Public Banishment</t>
  </si>
  <si>
    <t>Compliment Spooky Hat</t>
  </si>
  <si>
    <t>Fanatic</t>
  </si>
  <si>
    <t>breakfast diplomacy</t>
  </si>
  <si>
    <t>like childhood and lightning</t>
  </si>
  <si>
    <t>mop squad</t>
  </si>
  <si>
    <t>ghost drama</t>
  </si>
  <si>
    <t>family-style afterlife</t>
  </si>
  <si>
    <t>shadows do pushups</t>
  </si>
  <si>
    <t>hearts settle</t>
  </si>
  <si>
    <t>don’t do this</t>
  </si>
  <si>
    <t>squeaks on applause</t>
  </si>
  <si>
    <t>Net Δ</t>
  </si>
  <si>
    <t>Tier Suggest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</si>
</sst>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8</v>
      </c>
    </row>
    <row r="3" spans="1:3">
      <c r="A3" t="s">
        <v>4</v>
      </c>
      <c r="B3">
        <v>1.2</v>
      </c>
      <c r="C3" t="s">
        <v>9</v>
      </c>
    </row>
    <row r="4" spans="1:3">
      <c r="A4" t="s">
        <v>5</v>
      </c>
      <c r="B4">
        <v>1.1</v>
      </c>
      <c r="C4" t="s">
        <v>10</v>
      </c>
    </row>
    <row r="5" spans="1:3">
      <c r="A5" t="s">
        <v>6</v>
      </c>
      <c r="B5">
        <v>1.05</v>
      </c>
      <c r="C5" t="s">
        <v>11</v>
      </c>
    </row>
    <row r="6" spans="1:3">
      <c r="A6" t="s">
        <v>7</v>
      </c>
      <c r="B6">
        <v>0.9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2</v>
      </c>
    </row>
    <row r="2" spans="1:3">
      <c r="A2" t="s">
        <v>15</v>
      </c>
      <c r="B2">
        <v>1</v>
      </c>
      <c r="C2" t="s">
        <v>27</v>
      </c>
    </row>
    <row r="3" spans="1:3">
      <c r="A3" t="s">
        <v>16</v>
      </c>
      <c r="B3">
        <v>1</v>
      </c>
      <c r="C3" t="s">
        <v>28</v>
      </c>
    </row>
    <row r="4" spans="1:3">
      <c r="A4" t="s">
        <v>17</v>
      </c>
      <c r="B4">
        <v>1</v>
      </c>
      <c r="C4" t="s">
        <v>29</v>
      </c>
    </row>
    <row r="5" spans="1:3">
      <c r="A5" t="s">
        <v>18</v>
      </c>
      <c r="B5">
        <v>1</v>
      </c>
      <c r="C5" t="s">
        <v>30</v>
      </c>
    </row>
    <row r="6" spans="1:3">
      <c r="A6" t="s">
        <v>19</v>
      </c>
      <c r="B6">
        <v>1</v>
      </c>
      <c r="C6" t="s">
        <v>31</v>
      </c>
    </row>
    <row r="7" spans="1:3">
      <c r="A7" t="s">
        <v>20</v>
      </c>
      <c r="B7">
        <v>1</v>
      </c>
      <c r="C7" t="s">
        <v>32</v>
      </c>
    </row>
    <row r="8" spans="1:3">
      <c r="A8" t="s">
        <v>21</v>
      </c>
      <c r="B8">
        <v>1</v>
      </c>
      <c r="C8" t="s">
        <v>33</v>
      </c>
    </row>
    <row r="9" spans="1:3">
      <c r="A9" t="s">
        <v>22</v>
      </c>
      <c r="B9">
        <v>1</v>
      </c>
      <c r="C9" t="s">
        <v>34</v>
      </c>
    </row>
    <row r="10" spans="1:3">
      <c r="A10" t="s">
        <v>23</v>
      </c>
      <c r="B10">
        <v>1</v>
      </c>
      <c r="C10" t="s">
        <v>35</v>
      </c>
    </row>
    <row r="11" spans="1:3">
      <c r="A11" t="s">
        <v>24</v>
      </c>
      <c r="B11">
        <v>1</v>
      </c>
      <c r="C11" t="s">
        <v>36</v>
      </c>
    </row>
    <row r="12" spans="1:3">
      <c r="A12" t="s">
        <v>25</v>
      </c>
      <c r="B12">
        <v>1</v>
      </c>
      <c r="C12" t="s">
        <v>37</v>
      </c>
    </row>
    <row r="13" spans="1:3">
      <c r="A13" t="s">
        <v>26</v>
      </c>
      <c r="B13">
        <v>1</v>
      </c>
      <c r="C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39</v>
      </c>
      <c r="B1" s="1" t="s">
        <v>40</v>
      </c>
      <c r="C1" s="1" t="s">
        <v>41</v>
      </c>
      <c r="D1" s="1" t="s">
        <v>42</v>
      </c>
      <c r="E1" s="1" t="s">
        <v>2</v>
      </c>
    </row>
    <row r="2" spans="1:5">
      <c r="A2" t="s">
        <v>43</v>
      </c>
      <c r="B2" t="s">
        <v>44</v>
      </c>
      <c r="C2">
        <v>1.15</v>
      </c>
      <c r="D2">
        <v>0.9</v>
      </c>
      <c r="E2" t="s">
        <v>53</v>
      </c>
    </row>
    <row r="3" spans="1:5">
      <c r="A3" t="s">
        <v>43</v>
      </c>
      <c r="B3" t="s">
        <v>45</v>
      </c>
      <c r="C3">
        <v>1.05</v>
      </c>
      <c r="D3">
        <v>0.95</v>
      </c>
      <c r="E3" t="s">
        <v>54</v>
      </c>
    </row>
    <row r="4" spans="1:5">
      <c r="A4" t="s">
        <v>43</v>
      </c>
      <c r="B4" t="s">
        <v>46</v>
      </c>
      <c r="C4">
        <v>1</v>
      </c>
      <c r="D4">
        <v>1</v>
      </c>
      <c r="E4" t="s">
        <v>55</v>
      </c>
    </row>
    <row r="5" spans="1:5">
      <c r="A5" t="s">
        <v>43</v>
      </c>
      <c r="B5" t="s">
        <v>47</v>
      </c>
      <c r="C5">
        <v>0.9</v>
      </c>
      <c r="D5">
        <v>1.1</v>
      </c>
      <c r="E5" t="s">
        <v>56</v>
      </c>
    </row>
    <row r="6" spans="1:5">
      <c r="A6" t="s">
        <v>43</v>
      </c>
      <c r="B6" t="s">
        <v>48</v>
      </c>
      <c r="C6">
        <v>1</v>
      </c>
      <c r="D6">
        <v>1</v>
      </c>
      <c r="E6" t="s">
        <v>57</v>
      </c>
    </row>
    <row r="7" spans="1:5">
      <c r="A7" t="s">
        <v>43</v>
      </c>
      <c r="B7" t="s">
        <v>49</v>
      </c>
      <c r="C7">
        <v>0.95</v>
      </c>
      <c r="D7">
        <v>1.05</v>
      </c>
      <c r="E7" t="s">
        <v>58</v>
      </c>
    </row>
    <row r="8" spans="1:5">
      <c r="A8" t="s">
        <v>43</v>
      </c>
      <c r="B8" t="s">
        <v>50</v>
      </c>
      <c r="C8">
        <v>1.1</v>
      </c>
      <c r="D8">
        <v>0.9</v>
      </c>
      <c r="E8" t="s">
        <v>59</v>
      </c>
    </row>
    <row r="9" spans="1:5">
      <c r="A9" t="s">
        <v>43</v>
      </c>
      <c r="B9" t="s">
        <v>51</v>
      </c>
      <c r="C9">
        <v>1.05</v>
      </c>
      <c r="D9">
        <v>1.1</v>
      </c>
      <c r="E9" t="s">
        <v>60</v>
      </c>
    </row>
    <row r="10" spans="1:5">
      <c r="A10" t="s">
        <v>43</v>
      </c>
      <c r="B10" t="s">
        <v>52</v>
      </c>
      <c r="C10">
        <v>1</v>
      </c>
      <c r="D10">
        <v>1</v>
      </c>
      <c r="E1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12.7109375" customWidth="1"/>
    <col min="4" max="4" width="16.7109375" customWidth="1"/>
    <col min="5" max="5" width="8.7109375" customWidth="1"/>
    <col min="6" max="8" width="16.7109375" customWidth="1"/>
    <col min="9" max="9" width="32.7109375" customWidth="1"/>
  </cols>
  <sheetData>
    <row r="1" spans="1:9">
      <c r="A1" s="2" t="s">
        <v>62</v>
      </c>
      <c r="B1" s="2" t="s">
        <v>13</v>
      </c>
      <c r="C1" s="2" t="s">
        <v>63</v>
      </c>
      <c r="D1" s="2" t="s">
        <v>43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2</v>
      </c>
    </row>
    <row r="2" spans="1:9">
      <c r="A2" s="1" t="s">
        <v>62</v>
      </c>
      <c r="B2" s="1" t="s">
        <v>13</v>
      </c>
      <c r="C2" s="1" t="s">
        <v>63</v>
      </c>
      <c r="D2" s="1" t="s">
        <v>43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2</v>
      </c>
    </row>
    <row r="3" spans="1:9">
      <c r="A3" t="s">
        <v>68</v>
      </c>
      <c r="B3" t="s">
        <v>15</v>
      </c>
      <c r="C3">
        <v>5</v>
      </c>
      <c r="D3" t="s">
        <v>44</v>
      </c>
      <c r="E3">
        <v>5</v>
      </c>
      <c r="F3" cm="1">
        <f t="array" ref="F3">_xlfn.XLOOKUP(B2,Category_Weights!$A:$A,Category_Weights!$B:$B,1)</f>
        <v>0</v>
      </c>
      <c r="G3" cm="1">
        <f t="array" ref="G3">_xlfn.XLOOKUP(Controls!B1,Controls!$A:$A,Controls!$B:$B,1)</f>
        <v>0</v>
      </c>
      <c r="H3" cm="1">
        <f t="array" ref="H3">C2 * (IF(C2&lt;0, _xlfn.XLOOKUP(D2,Temperament_Tuning!$B:$B,Temperament_Tuning!$D:$D,1), _xlfn.XLOOKUP(D2,Temperament_Tuning!$B:$B,Temperament_Tuning!$C:$C,1))) * F2 * G2 * E2</f>
        <v>0</v>
      </c>
      <c r="I3" t="s">
        <v>78</v>
      </c>
    </row>
    <row r="4" spans="1:9">
      <c r="A4" t="s">
        <v>69</v>
      </c>
      <c r="B4" t="s">
        <v>15</v>
      </c>
      <c r="C4">
        <v>10</v>
      </c>
      <c r="D4" t="s">
        <v>45</v>
      </c>
      <c r="E4">
        <v>2</v>
      </c>
      <c r="I4" t="s">
        <v>79</v>
      </c>
    </row>
    <row r="5" spans="1:9">
      <c r="A5" t="s">
        <v>70</v>
      </c>
      <c r="B5" t="s">
        <v>17</v>
      </c>
      <c r="C5">
        <v>6</v>
      </c>
      <c r="D5" t="s">
        <v>49</v>
      </c>
      <c r="E5">
        <v>1</v>
      </c>
      <c r="I5" t="s">
        <v>80</v>
      </c>
    </row>
    <row r="6" spans="1:9">
      <c r="A6" t="s">
        <v>71</v>
      </c>
      <c r="B6" t="s">
        <v>18</v>
      </c>
      <c r="C6">
        <v>-8</v>
      </c>
      <c r="D6" t="s">
        <v>44</v>
      </c>
      <c r="E6">
        <v>1</v>
      </c>
      <c r="I6" t="s">
        <v>81</v>
      </c>
    </row>
    <row r="7" spans="1:9">
      <c r="A7" t="s">
        <v>72</v>
      </c>
      <c r="B7" t="s">
        <v>19</v>
      </c>
      <c r="C7">
        <v>15</v>
      </c>
      <c r="D7" t="s">
        <v>77</v>
      </c>
      <c r="E7">
        <v>1</v>
      </c>
      <c r="I7" t="s">
        <v>82</v>
      </c>
    </row>
    <row r="8" spans="1:9">
      <c r="A8" t="s">
        <v>73</v>
      </c>
      <c r="B8" t="s">
        <v>25</v>
      </c>
      <c r="C8">
        <v>-5</v>
      </c>
      <c r="D8" t="s">
        <v>51</v>
      </c>
      <c r="E8">
        <v>1</v>
      </c>
      <c r="I8" t="s">
        <v>83</v>
      </c>
    </row>
    <row r="9" spans="1:9">
      <c r="A9" t="s">
        <v>74</v>
      </c>
      <c r="B9" t="s">
        <v>16</v>
      </c>
      <c r="C9">
        <v>6</v>
      </c>
      <c r="D9" t="s">
        <v>44</v>
      </c>
      <c r="E9">
        <v>1</v>
      </c>
      <c r="I9" t="s">
        <v>84</v>
      </c>
    </row>
    <row r="10" spans="1:9">
      <c r="A10" t="s">
        <v>75</v>
      </c>
      <c r="B10" t="s">
        <v>19</v>
      </c>
      <c r="C10">
        <v>-25</v>
      </c>
      <c r="D10" t="s">
        <v>52</v>
      </c>
      <c r="E10">
        <v>0</v>
      </c>
      <c r="I10" t="s">
        <v>85</v>
      </c>
    </row>
    <row r="11" spans="1:9">
      <c r="A11" t="s">
        <v>76</v>
      </c>
      <c r="B11" t="s">
        <v>23</v>
      </c>
      <c r="C11">
        <v>2</v>
      </c>
      <c r="D11" t="s">
        <v>46</v>
      </c>
      <c r="E11">
        <v>2</v>
      </c>
      <c r="I11" t="s">
        <v>86</v>
      </c>
    </row>
    <row r="12" spans="1:9">
      <c r="G12" s="2" t="s">
        <v>87</v>
      </c>
      <c r="H12">
        <f>SUM(H2:H10)</f>
        <v>0</v>
      </c>
    </row>
    <row r="13" spans="1:9">
      <c r="G13" s="2" t="s">
        <v>88</v>
      </c>
      <c r="H13">
        <f>IF(Controls!B2&gt;=1.2,"Calm",IF(Controls!B2&gt;=1.1,"Steady",IF(Controls!B2&gt;=1.05,"Wobbly","Frayed")))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Controls</vt:lpstr>
      <vt:lpstr>Category_Weights</vt:lpstr>
      <vt:lpstr>Temperament_Tuning</vt:lpstr>
      <vt:lpstr>NetDay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2025-11-01T04:18:26Z</dcterms:created>
  <dcterms:modified xsi:type="dcterms:W3CDTF">2025-11-01T04:18:26Z</dcterms:modified>
</cp:coreProperties>
</file>